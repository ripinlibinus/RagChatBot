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eval\"/>
    </mc:Choice>
  </mc:AlternateContent>
  <xr:revisionPtr revIDLastSave="0" documentId="13_ncr:1_{19F66DBE-AD69-4680-85F0-A5BB20E42EB2}" xr6:coauthVersionLast="47" xr6:coauthVersionMax="47" xr10:uidLastSave="{00000000-0000-0000-0000-000000000000}"/>
  <bookViews>
    <workbookView xWindow="-108" yWindow="-108" windowWidth="23256" windowHeight="12456" xr2:uid="{00000000-000D-0000-FFFF-FFFF00000000}"/>
  </bookViews>
  <sheets>
    <sheet name="per_question" sheetId="1" r:id="rId1"/>
    <sheet name="per_item" sheetId="2" r:id="rId2"/>
    <sheet name="global_ru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 l="1"/>
  <c r="M23" i="1"/>
  <c r="I23" i="1"/>
  <c r="H3" i="3"/>
</calcChain>
</file>

<file path=xl/sharedStrings.xml><?xml version="1.0" encoding="utf-8"?>
<sst xmlns="http://schemas.openxmlformats.org/spreadsheetml/2006/main" count="558" uniqueCount="193">
  <si>
    <t>run_id</t>
  </si>
  <si>
    <t>run_ts</t>
  </si>
  <si>
    <t>xls_input</t>
  </si>
  <si>
    <t>q_index</t>
  </si>
  <si>
    <t>has_items</t>
  </si>
  <si>
    <t>no_result_claim</t>
  </si>
  <si>
    <t>api_note</t>
  </si>
  <si>
    <t>items_count</t>
  </si>
  <si>
    <t>avg_pca</t>
  </si>
  <si>
    <t>precision</t>
  </si>
  <si>
    <t>recall</t>
  </si>
  <si>
    <t>f1</t>
  </si>
  <si>
    <t>cpr_all</t>
  </si>
  <si>
    <t>cpr_at_5</t>
  </si>
  <si>
    <t>constraints_total</t>
  </si>
  <si>
    <t>constraints_correct</t>
  </si>
  <si>
    <t>no_result_score</t>
  </si>
  <si>
    <t>cm_label</t>
  </si>
  <si>
    <t>cm_gt</t>
  </si>
  <si>
    <t>cm_pred</t>
  </si>
  <si>
    <t>cm_threshold</t>
  </si>
  <si>
    <t>answer_excerpt</t>
  </si>
  <si>
    <t>gold_json</t>
  </si>
  <si>
    <t>20251112-161906</t>
  </si>
  <si>
    <t>2025-11-12T16:19:06</t>
  </si>
  <si>
    <t>test/test_vector_rval.xlsx</t>
  </si>
  <si>
    <t>TP</t>
  </si>
  <si>
    <t>Pos</t>
  </si>
  <si>
    <t>Saya menemukan beberapa rumah di Medan yang dilengkapi dengan fasilitas CCTV. Berikut adalah pilihan yang bisa Anda pertimbangkan: 1. *Dijual Rumah Full Furnish Daerah Gatsu — Kota Medan, Sei Sikambin</t>
  </si>
  <si>
    <t>{"keyword": "medan", "info_lainnya": "cctv"}</t>
  </si>
  <si>
    <t>Berikut adalah rumah yang tersedia di Medan dengan fasilitas WiFi: 1. *Dijual Rumah Mewah Full Furnished Kawasan Simpang Pemda Medan* - Lokasi: Jl. Flamboyan I/2, Kel. Tanjung Selamat, Kec. Medan Tunt</t>
  </si>
  <si>
    <t>{"keyword": "medan", "info_lainnya": "wifi"}</t>
  </si>
  <si>
    <t>Berikut adalah rumah dalam komplek yang memiliki fasilitas lapangan basket: 1. **Dijual Rumah Dalam Komplek Elite Full Furnished** - **Lokasi**: Jl. Flamboyan I, komp. Taman asoka asri, Kel. Tanjung S</t>
  </si>
  <si>
    <t>{"info_lainnya": "basket"}</t>
  </si>
  <si>
    <t>Berikut adalah beberapa rumah yang dijual di daerah Cemara: 1. **Dijual Rumah di Jl. Cemara, Kota Medan** - Harga: Rp 695.000.000 - Spesifikasi: LT 76 m², LB 120 m², 2.5 lantai - Catatan: Perlu renova</t>
  </si>
  <si>
    <t>{"keyword": "cemara", "tipe_listing": 1, "jenis_properti": 1, "page": 1}</t>
  </si>
  <si>
    <t>Berikut adalah beberapa rumah yang dijual di daerah Ringroad: 1. **Dijual full perabot di Tanjung Sari** - Harga: 900.000.000 - Spesifikasi: 3 KT, 3 KM, LT 90 m², LB 90 m², 2 lantai, carport 1 - Link:</t>
  </si>
  <si>
    <t>{"keyword": "ringroad", "tipe_listing": 1, "jenis_properti": 1, "page": 1}</t>
  </si>
  <si>
    <t>Berikut adalah rumah sewa yang tersedia di Medan: 1. **Disewakan Rumah di Royal Sumatera** - Lokasi: Jln. Jamin Ginting, Komp. komplek royal sumatera, Kel. Mangga, Kec. Medan Tuntungan, Kota Medan - H</t>
  </si>
  <si>
    <t>{"keyword": "medan", "tipe_listing": 2, "jenis_properti": 1, "page": 1}</t>
  </si>
  <si>
    <t xml:space="preserve">Berikut adalah rumah yang dijual di daerah Cemara dengan harga sekitar 1M: 1. **Dijual Rumah di P Berayan Darat II, Kota Medan** - Harga: 1.000.000.000 - Spesifikasi: 2 KT, 3 KM, LT 64 m², LB 168 m², </t>
  </si>
  <si>
    <t>{"keyword": "cemara", "harga_min": 800000000, "harga_max": 1200000000, "tipe_listing": 1, "jenis_properti": 1, "page": 1}</t>
  </si>
  <si>
    <t>API has data</t>
  </si>
  <si>
    <t>FN</t>
  </si>
  <si>
    <t>Neg</t>
  </si>
  <si>
    <t>Maaf, saya tidak menemukan rumah dijual di daerah Ringroad dengan harga di bawah 800 juta dan memiliki 3 kamar. Apakah ada kata kunci lain yang ingin Anda cari atau mungkin Anda ingin mengubah kriteri</t>
  </si>
  <si>
    <t>{"keyword": "ringroad", "harga_max": 800000000, "kamar_tidur": 3, "tipe_listing": 1, "jenis_properti": 1, "page": 1}</t>
  </si>
  <si>
    <t>Maaf, saat ini tidak ada rumah sewa di Medan dengan harga di bawah 50 juta dan memiliki 3 kamar. Jika Anda memiliki kata kunci lain yang ingin dicari atau ingin mengubah kriteria pencarian, silakan be</t>
  </si>
  <si>
    <t>{"keyword": "medan", "harga_max": 50000000, "kamar_tidur": 3, "tipe_listing": 2, "jenis_properti": 1, "page": 1, "paginate": 5}</t>
  </si>
  <si>
    <t>API empty</t>
  </si>
  <si>
    <t>TN</t>
  </si>
  <si>
    <t>Maaf, saat ini tidak ada rumah di dekat Podomoro Medan dengan harga di bawah 1M. Apakah ada kata kunci lain yang ingin Anda cari atau mungkin Anda ingin mengubah kriteria pencarian? 😊</t>
  </si>
  <si>
    <t>{"keyword": "podomoro", "harga_max": 1000000000, "tipe_listing": 1, "jenis_properti": 1, "page": 1, "paginate": 5}</t>
  </si>
  <si>
    <t>FP</t>
  </si>
  <si>
    <t>Saya menemukan beberapa properti yang mungkin cocok untuk disewa dekat USU: 1. **Rumah Fully Furnish Setiabudi Dekat USU** - Lokasi: Jl. Abdul Hakim, Komp. Classic 3 Setiabudi, Kel. Tanjung Sari, Kec.</t>
  </si>
  <si>
    <t>{"keyword": "usu", "tipe_listing": 2, "jenis_properti": 1, "page": 1, "paginate": 5}</t>
  </si>
  <si>
    <t>Berikut adalah rumah yang tersedia di inti kota Medan dengan harga di bawah 1M: 1. **Tusam House Rumah Cantik Murah** - **Lokasi**: Jl. Timor Ujung, Kel. Gaharu, Kec. Medan Timur - **Harga**: Rp 675.0</t>
  </si>
  <si>
    <t>{"keyword": "inti kota medan", "harga_max": 1000000000, "tipe_listing": 1, "jenis_properti": 1, "page": 1, "paginate": 5}</t>
  </si>
  <si>
    <t>Saat ini, tidak ada ruko yang disewakan di daerah Krakatau. Namun, ada beberapa ruko yang dijual di area tersebut. Berikut adalah beberapa pilihan yang bisa Anda pertimbangkan: 1. **Ruko Daerah Krakat</t>
  </si>
  <si>
    <t>{"keyword": "krakatau", "tipe_listing": 2, "jenis_properti": 2, "page": 1, "paginate": 5}</t>
  </si>
  <si>
    <t>Berikut adalah beberapa pilihan tanah yang dijual di Marelan: 1. **Tanah Enam Ratus** - Lokasi: Marelan, Kel. Tanah Enam Ratus, Kec. Medan Marelan, Kota Medan - Harga: Rp 7.000.000.000 - Luas Tanah: 6</t>
  </si>
  <si>
    <t>{"keyword": "marelan", "tipe_listing": 1, "jenis_properti": 3, "page": 1, "paginate": 5}</t>
  </si>
  <si>
    <t>Di KIM, saat ini tidak ada gudang yang dijual atau disewa. Namun, ada beberapa properti lain yang mungkin menarik bagi Anda: 1. **Dijual Ruko di KIM 2** - Lokasi: Jl. Pulau Karimun, Kel. Sampali, Kec.</t>
  </si>
  <si>
    <t>{"keyword": "kim", "jenis_properti": 5, "page": 1, "paginate": 5}</t>
  </si>
  <si>
    <t>Berikut adalah rumah yang tersedia di daerah Ringroad dengan harga sekitar 1M dan memiliki 3 kamar: 1. **Dijual full perabot daerah Ringroad — Kota Medan, Tanjung Sari** - **Harga:** 900.000.000 - **S</t>
  </si>
  <si>
    <t>{"keyword": "ringroad", "harga_min": 800000000, "harga_max": 1200000000, "kamar_tidur": 3, "tipe_listing": 1, "jenis_properti": 1, "page": 1, "paginate": 5}</t>
  </si>
  <si>
    <t>Tentu saja, ada beberapa pilihan lain yang bisa Anda pertimbangkan: 1. **Dijual Rumah Full Furnish di daerah Ringroad — Kota Medan, Sunggal** - Harga: 1,3 Miliar (nego) - Spesifikasi: 3 KT, 2 KM, LT 1</t>
  </si>
  <si>
    <t>{"keyword": "ringroad", "harga_min": 800000000, "harga_max": 1200000000, "kamar_tidur": 3, "tipe_listing": 1, "jenis_properti": 1, "page": 2, "paginate": 5}</t>
  </si>
  <si>
    <t xml:space="preserve">Berikut adalah beberapa pilihan properti lain yang tersedia: 1. **Dijual Rumah Full Furnish di daerah Ringroad — Kota Medan, Sunggal** - Harga: 1,3 Miliar (nego) - Spesifikasi: 3 KT, 2 KM, LT 162 m², </t>
  </si>
  <si>
    <t>{"keyword": "ringroad", "harga_min": 800000000, "harga_max": 1200000000, "kamar_tidur": 3, "tipe_listing": 1, "jenis_properti": 1, "page": 3, "paginate": 5}</t>
  </si>
  <si>
    <t>Saat ini, saya tidak menemukan pilihan properti 3 lantai di lokasi dan harga yang sama. Namun, berikut adalah beberapa pilihan yang mungkin menarik: 1. **Dijual Ruko 2 gandeng di daerah Ringroad — Kot</t>
  </si>
  <si>
    <t>{"keyword": "ringroad", "harga_min": 800000000, "harga_max": 1200000000, "kamar_tidur": 3, "tipe_listing": 1, "jenis_properti": 1, "jumlah_tingkat": 3, "page": 1, "paginate": 5}</t>
  </si>
  <si>
    <t>{"keyword": "ringroad", "harga_min": 800000000, "harga_max": 1200000000, "kamar_tidur": 3, "tipe_listing": 1, "jenis_properti": 1, "jumlah_tingkat": 3, "page": 2, "paginate": 5}</t>
  </si>
  <si>
    <t>Maaf, saat ini tidak ada properti yang tersedia di lokasi dan jumlah lantai yang sama dengan harga di bawah 800 juta. Apakah ada kata kunci lain yang ingin Anda cari atau mungkin Anda ingin mengubah k</t>
  </si>
  <si>
    <t>{"keyword": "ringroad", "harga_max": 800000000, "kamar_tidur": 3, "tipe_listing": 1, "jenis_properti": 1, "jumlah_tingkat": 3, "page": 1, "paginate": 5}</t>
  </si>
  <si>
    <t>item_idx</t>
  </si>
  <si>
    <t>title</t>
  </si>
  <si>
    <t>link</t>
  </si>
  <si>
    <t>listing_id</t>
  </si>
  <si>
    <t>per_constraint_accuracy</t>
  </si>
  <si>
    <t>strict_success</t>
  </si>
  <si>
    <t>price</t>
  </si>
  <si>
    <t>kamar_tidur</t>
  </si>
  <si>
    <t>luas_bangunan</t>
  </si>
  <si>
    <t>luas_tanah</t>
  </si>
  <si>
    <t>lebar_bangunan</t>
  </si>
  <si>
    <t>jumlah_tingkat</t>
  </si>
  <si>
    <t>kondisi</t>
  </si>
  <si>
    <t>jenis_properti</t>
  </si>
  <si>
    <t>tipe_listing</t>
  </si>
  <si>
    <t>mata_angin</t>
  </si>
  <si>
    <t>pred_json</t>
  </si>
  <si>
    <t>Dijual Rumah Full Furnish Daerah Gatsu — Kota Medan, Sei Sikambing C II</t>
  </si>
  <si>
    <t>https://metaproperty.co.id/listing/7184</t>
  </si>
  <si>
    <t>{"keyword": true, "info_lainnya": true}</t>
  </si>
  <si>
    <t>Dijual Rumah Mewah Full Furnished Kawasan Simpang Pemda Medan — Kota Medan, Tanjung Selamat</t>
  </si>
  <si>
    <t>https://metaproperty.co.id/listing/7801</t>
  </si>
  <si>
    <t>full furnished</t>
  </si>
  <si>
    <t>Dijual Rumah Mewah Full Furnished Kawasan Simpang Pemda Medan</t>
  </si>
  <si>
    <t>*Dijual Rumah Dalam Komplek Elite Full Furnished</t>
  </si>
  <si>
    <t>https://metaproperty.co.id/listing/9994</t>
  </si>
  <si>
    <t>utara</t>
  </si>
  <si>
    <t>{"info_lainnya": true}</t>
  </si>
  <si>
    <t>*Dijual Rumah di Jl. Cemara, Kota Medan</t>
  </si>
  <si>
    <t>https://metaproperty.co.id/listing/9878</t>
  </si>
  <si>
    <t>barat</t>
  </si>
  <si>
    <t>{"keyword": true, "jenis_properti": true, "tipe_listing": true}</t>
  </si>
  <si>
    <t>*Dijual Rumah di Gg. Tusam, Kota Medan</t>
  </si>
  <si>
    <t>https://metaproperty.co.id/listing/8341</t>
  </si>
  <si>
    <t>selatan</t>
  </si>
  <si>
    <t>*Dijual Rumah di Lrg. II Timur, Medan Estate</t>
  </si>
  <si>
    <t>https://metaproperty.co.id/listing/7426</t>
  </si>
  <si>
    <t>timur</t>
  </si>
  <si>
    <t>*Dijual Rumah Cantik di Jl. Komp. Cemara Hijau, Kab. Deli Serdang</t>
  </si>
  <si>
    <t>https://metaproperty.co.id/listing/7274</t>
  </si>
  <si>
    <t>*Dijual Rumah Semi Furnished di Jl. Anggrek, Kab. Deli Serdang</t>
  </si>
  <si>
    <t>https://metaproperty.co.id/listing/9278</t>
  </si>
  <si>
    <t>non furnished</t>
  </si>
  <si>
    <t>*Dijual full perabot di Tanjung Sari</t>
  </si>
  <si>
    <t>https://metaproperty.co.id/listing/7980</t>
  </si>
  <si>
    <t>*Dijual Rumah Full Furnish di Sunggal</t>
  </si>
  <si>
    <t>https://metaproperty.co.id/listing/9821</t>
  </si>
  <si>
    <t>*Dijual Rumah Cantik Full Furnish di Sunggal</t>
  </si>
  <si>
    <t>https://metaproperty.co.id/listing/9724</t>
  </si>
  <si>
    <t>*Dijual Cepat Rumah Luas di Sei Sikambing B</t>
  </si>
  <si>
    <t>https://metaproperty.co.id/listing/7329</t>
  </si>
  <si>
    <t>*Dijual Rumah Hook Luas di Tanjung Sari</t>
  </si>
  <si>
    <t>https://metaproperty.co.id/listing/9826</t>
  </si>
  <si>
    <t>*Disewakan Rumah di Royal Sumatera</t>
  </si>
  <si>
    <t>https://metaproperty.co.id/listing/9976</t>
  </si>
  <si>
    <t>*Disewakan Rumah Daerah Sutrisno</t>
  </si>
  <si>
    <t>https://metaproperty.co.id/listing/8155</t>
  </si>
  <si>
    <t>*Dijual Rumah di P Berayan Darat II, Kota Medan</t>
  </si>
  <si>
    <t>{"keyword": true, "harga_min": true, "harga_max": true, "jenis_properti": true, "tipe_listing": true}</t>
  </si>
  <si>
    <t>*Rumah Fully Furnish Setiabudi Dekat USU</t>
  </si>
  <si>
    <t>https://metaproperty.co.id/listing/9091</t>
  </si>
  <si>
    <t>{"keyword": true, "jenis_properti": true, "tipe_listing": false}</t>
  </si>
  <si>
    <t>*Kondominium Semi Furnished di Manhattan</t>
  </si>
  <si>
    <t>https://metaproperty.co.id/listing/9245</t>
  </si>
  <si>
    <t>{"keyword": false, "jenis_properti": false, "tipe_listing": true}</t>
  </si>
  <si>
    <t>*Tusam House Rumah Cantik Murah</t>
  </si>
  <si>
    <t>https://metaproperty.co.id/listing/567</t>
  </si>
  <si>
    <t>{"keyword": true, "harga_max": true, "jenis_properti": true, "tipe_listing": true}</t>
  </si>
  <si>
    <t>*DIJUAL RUMAH 1 LANTAI DI JEMADI</t>
  </si>
  <si>
    <t>https://metaproperty.co.id/listing/8506</t>
  </si>
  <si>
    <t>*Dijual Rumah cantik harga murah</t>
  </si>
  <si>
    <t>https://metaproperty.co.id/listing/1510</t>
  </si>
  <si>
    <t>*Ruko Daerah Krakatau — Kota Medan, Indra Kasih</t>
  </si>
  <si>
    <t>https://metaproperty.co.id/listing/8560</t>
  </si>
  <si>
    <t>*Ruko Gandeng Kosong Daerah Krakatau dekat budaran KB — Kota Medan, Durian</t>
  </si>
  <si>
    <t>https://metaproperty.co.id/listing/8406</t>
  </si>
  <si>
    <t>kosong</t>
  </si>
  <si>
    <t>*RUKO/Townhouse Karantina _ Krakatau — Kota Medan, Sidorame Bar. I</t>
  </si>
  <si>
    <t>https://metaproperty.co.id/listing/938</t>
  </si>
  <si>
    <t>*Dijual Ruko 2 Lantai di Daerah Krakatau — Kota Medan, P Berayan Darat II</t>
  </si>
  <si>
    <t>https://metaproperty.co.id/listing/7441</t>
  </si>
  <si>
    <t>*Tanah Enam Ratus</t>
  </si>
  <si>
    <t>https://metaproperty.co.id/listing/6912</t>
  </si>
  <si>
    <t>*Tanah + Rumah di Rengas Pulau</t>
  </si>
  <si>
    <t>https://metaproperty.co.id/listing/257</t>
  </si>
  <si>
    <t>*Tanah Beserta Ex-Cafe di Terjun</t>
  </si>
  <si>
    <t>https://metaproperty.co.id/listing/9916</t>
  </si>
  <si>
    <t>*Dijual full perabot daerah Ringroad — Kota Medan, Tanjung Sari</t>
  </si>
  <si>
    <t>{"keyword": true, "harga_min": true, "harga_max": true, "kamar_tidur": true, "jenis_properti": true, "tipe_listing": true}</t>
  </si>
  <si>
    <t>*Dijual Rumah Full Furnish di daerah Ringroad — Kota Medan, Sunggal</t>
  </si>
  <si>
    <t>{"keyword": true, "harga_min": true, "harga_max": false, "kamar_tidur": true, "jenis_properti": true, "tipe_listing": true}</t>
  </si>
  <si>
    <t>*Dijual Full Perabot di daerah Ringroad — Kota Medan, Tanjung Sari</t>
  </si>
  <si>
    <t>*Dijual Rumah Daerah Ringroad Komplek Mewah — Kota Medan, Sunggal</t>
  </si>
  <si>
    <t>https://metaproperty.co.id/listing/8307</t>
  </si>
  <si>
    <t>*Dijual Ruko 2 Gandeng di daerah Ringroad — Kota Medan, Sei Sikambing B</t>
  </si>
  <si>
    <t>https://metaproperty.co.id/listing/9658</t>
  </si>
  <si>
    <t>{"keyword": true, "harga_min": true, "harga_max": false, "kamar_tidur": true, "jenis_properti": false, "tipe_listing": true}</t>
  </si>
  <si>
    <t>*Dijual Rumah Cantik Full Furnish Daerah Ringroad — Kota Medan, Sunggal</t>
  </si>
  <si>
    <t>*Dijual Ruko 2 gandeng di daerah Ringroad — Kota Medan, Sei Sikambing B</t>
  </si>
  <si>
    <t>{"keyword": true, "harga_min": true, "harga_max": false, "kamar_tidur": true, "jumlah_tingkat": false, "jenis_properti": false, "tipe_listing": true}</t>
  </si>
  <si>
    <t>{"keyword": true, "harga_min": true, "harga_max": false, "kamar_tidur": true, "jumlah_tingkat": false, "jenis_properti": true, "tipe_listing": true}</t>
  </si>
  <si>
    <t>{"keyword": true, "harga_min": true, "harga_max": true, "kamar_tidur": true, "jumlah_tingkat": false, "jenis_properti": true, "tipe_listing": true}</t>
  </si>
  <si>
    <t>*Dijual Rumah Hook Luas Di Ringroad — Kota Medan, Tanjung Sari</t>
  </si>
  <si>
    <t>threshold_T</t>
  </si>
  <si>
    <t>total_questions</t>
  </si>
  <si>
    <t>total_with_items</t>
  </si>
  <si>
    <t>total_no_result_conclusive</t>
  </si>
  <si>
    <t>macro_avg_pca</t>
  </si>
  <si>
    <t>macro_avg_precision</t>
  </si>
  <si>
    <t>macro_avg_recall</t>
  </si>
  <si>
    <t>macro_avg_f1</t>
  </si>
  <si>
    <t>micro_accuracy</t>
  </si>
  <si>
    <t>avg_no_result_score</t>
  </si>
  <si>
    <t>UNK</t>
  </si>
  <si>
    <t>cm_precision</t>
  </si>
  <si>
    <t>cm_recall</t>
  </si>
  <si>
    <t>cm_f1</t>
  </si>
  <si>
    <t>cm_accuracy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</si>
</sst>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
  <sheetViews>
    <sheetView tabSelected="1" workbookViewId="0">
      <selection activeCell="N23" sqref="N23"/>
    </sheetView>
  </sheetViews>
  <sheetFormatPr defaultRowHeight="15" x14ac:dyDescent="0.25"/>
  <cols>
    <col min="9" max="9" width="10" bestFit="1"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v>1</v>
      </c>
      <c r="E2" t="b">
        <v>1</v>
      </c>
      <c r="F2" t="b">
        <v>0</v>
      </c>
      <c r="H2">
        <v>2</v>
      </c>
      <c r="I2">
        <v>1</v>
      </c>
      <c r="J2">
        <v>1</v>
      </c>
      <c r="K2">
        <v>1</v>
      </c>
      <c r="L2">
        <v>1</v>
      </c>
      <c r="M2">
        <v>1</v>
      </c>
      <c r="N2">
        <v>1</v>
      </c>
      <c r="O2">
        <v>4</v>
      </c>
      <c r="P2">
        <v>4</v>
      </c>
      <c r="R2" t="s">
        <v>26</v>
      </c>
      <c r="S2" t="s">
        <v>27</v>
      </c>
      <c r="T2" t="s">
        <v>27</v>
      </c>
      <c r="U2">
        <v>0.6</v>
      </c>
      <c r="V2" t="s">
        <v>28</v>
      </c>
      <c r="W2" t="s">
        <v>29</v>
      </c>
    </row>
    <row r="3" spans="1:23" x14ac:dyDescent="0.25">
      <c r="A3" t="s">
        <v>23</v>
      </c>
      <c r="B3" t="s">
        <v>24</v>
      </c>
      <c r="C3" t="s">
        <v>25</v>
      </c>
      <c r="D3">
        <v>2</v>
      </c>
      <c r="E3" t="b">
        <v>1</v>
      </c>
      <c r="F3" t="b">
        <v>0</v>
      </c>
      <c r="H3">
        <v>1</v>
      </c>
      <c r="I3">
        <v>1</v>
      </c>
      <c r="J3">
        <v>1</v>
      </c>
      <c r="K3">
        <v>1</v>
      </c>
      <c r="L3">
        <v>1</v>
      </c>
      <c r="M3">
        <v>1</v>
      </c>
      <c r="N3">
        <v>1</v>
      </c>
      <c r="O3">
        <v>2</v>
      </c>
      <c r="P3">
        <v>2</v>
      </c>
      <c r="R3" t="s">
        <v>26</v>
      </c>
      <c r="S3" t="s">
        <v>27</v>
      </c>
      <c r="T3" t="s">
        <v>27</v>
      </c>
      <c r="U3">
        <v>0.6</v>
      </c>
      <c r="V3" t="s">
        <v>30</v>
      </c>
      <c r="W3" t="s">
        <v>31</v>
      </c>
    </row>
    <row r="4" spans="1:23" x14ac:dyDescent="0.25">
      <c r="A4" t="s">
        <v>23</v>
      </c>
      <c r="B4" t="s">
        <v>24</v>
      </c>
      <c r="C4" t="s">
        <v>25</v>
      </c>
      <c r="D4">
        <v>3</v>
      </c>
      <c r="E4" t="b">
        <v>1</v>
      </c>
      <c r="F4" t="b">
        <v>0</v>
      </c>
      <c r="H4">
        <v>1</v>
      </c>
      <c r="I4">
        <v>1</v>
      </c>
      <c r="J4">
        <v>1</v>
      </c>
      <c r="K4">
        <v>1</v>
      </c>
      <c r="L4">
        <v>1</v>
      </c>
      <c r="M4">
        <v>1</v>
      </c>
      <c r="N4">
        <v>1</v>
      </c>
      <c r="O4">
        <v>1</v>
      </c>
      <c r="P4">
        <v>1</v>
      </c>
      <c r="R4" t="s">
        <v>26</v>
      </c>
      <c r="S4" t="s">
        <v>27</v>
      </c>
      <c r="T4" t="s">
        <v>27</v>
      </c>
      <c r="U4">
        <v>0.6</v>
      </c>
      <c r="V4" t="s">
        <v>32</v>
      </c>
      <c r="W4" t="s">
        <v>33</v>
      </c>
    </row>
    <row r="5" spans="1:23" x14ac:dyDescent="0.25">
      <c r="A5" t="s">
        <v>23</v>
      </c>
      <c r="B5" t="s">
        <v>24</v>
      </c>
      <c r="C5" t="s">
        <v>25</v>
      </c>
      <c r="D5">
        <v>4</v>
      </c>
      <c r="E5" t="b">
        <v>1</v>
      </c>
      <c r="F5" t="b">
        <v>0</v>
      </c>
      <c r="H5">
        <v>5</v>
      </c>
      <c r="I5">
        <v>1</v>
      </c>
      <c r="J5">
        <v>1</v>
      </c>
      <c r="K5">
        <v>1</v>
      </c>
      <c r="L5">
        <v>1</v>
      </c>
      <c r="M5">
        <v>1</v>
      </c>
      <c r="N5">
        <v>1</v>
      </c>
      <c r="O5">
        <v>15</v>
      </c>
      <c r="P5">
        <v>15</v>
      </c>
      <c r="R5" t="s">
        <v>26</v>
      </c>
      <c r="S5" t="s">
        <v>27</v>
      </c>
      <c r="T5" t="s">
        <v>27</v>
      </c>
      <c r="U5">
        <v>0.6</v>
      </c>
      <c r="V5" t="s">
        <v>34</v>
      </c>
      <c r="W5" t="s">
        <v>35</v>
      </c>
    </row>
    <row r="6" spans="1:23" x14ac:dyDescent="0.25">
      <c r="A6" t="s">
        <v>23</v>
      </c>
      <c r="B6" t="s">
        <v>24</v>
      </c>
      <c r="C6" t="s">
        <v>25</v>
      </c>
      <c r="D6">
        <v>5</v>
      </c>
      <c r="E6" t="b">
        <v>1</v>
      </c>
      <c r="F6" t="b">
        <v>0</v>
      </c>
      <c r="H6">
        <v>5</v>
      </c>
      <c r="I6">
        <v>1</v>
      </c>
      <c r="J6">
        <v>1</v>
      </c>
      <c r="K6">
        <v>1</v>
      </c>
      <c r="L6">
        <v>1</v>
      </c>
      <c r="M6">
        <v>1</v>
      </c>
      <c r="N6">
        <v>1</v>
      </c>
      <c r="O6">
        <v>15</v>
      </c>
      <c r="P6">
        <v>15</v>
      </c>
      <c r="R6" t="s">
        <v>26</v>
      </c>
      <c r="S6" t="s">
        <v>27</v>
      </c>
      <c r="T6" t="s">
        <v>27</v>
      </c>
      <c r="U6">
        <v>0.6</v>
      </c>
      <c r="V6" t="s">
        <v>36</v>
      </c>
      <c r="W6" t="s">
        <v>37</v>
      </c>
    </row>
    <row r="7" spans="1:23" x14ac:dyDescent="0.25">
      <c r="A7" t="s">
        <v>23</v>
      </c>
      <c r="B7" t="s">
        <v>24</v>
      </c>
      <c r="C7" t="s">
        <v>25</v>
      </c>
      <c r="D7">
        <v>6</v>
      </c>
      <c r="E7" t="b">
        <v>1</v>
      </c>
      <c r="F7" t="b">
        <v>0</v>
      </c>
      <c r="H7">
        <v>2</v>
      </c>
      <c r="I7">
        <v>1</v>
      </c>
      <c r="J7">
        <v>1</v>
      </c>
      <c r="K7">
        <v>1</v>
      </c>
      <c r="L7">
        <v>1</v>
      </c>
      <c r="M7">
        <v>1</v>
      </c>
      <c r="N7">
        <v>1</v>
      </c>
      <c r="O7">
        <v>6</v>
      </c>
      <c r="P7">
        <v>6</v>
      </c>
      <c r="R7" t="s">
        <v>26</v>
      </c>
      <c r="S7" t="s">
        <v>27</v>
      </c>
      <c r="T7" t="s">
        <v>27</v>
      </c>
      <c r="U7">
        <v>0.6</v>
      </c>
      <c r="V7" t="s">
        <v>38</v>
      </c>
      <c r="W7" t="s">
        <v>39</v>
      </c>
    </row>
    <row r="8" spans="1:23" x14ac:dyDescent="0.25">
      <c r="A8" t="s">
        <v>23</v>
      </c>
      <c r="B8" t="s">
        <v>24</v>
      </c>
      <c r="C8" t="s">
        <v>25</v>
      </c>
      <c r="D8">
        <v>7</v>
      </c>
      <c r="E8" t="b">
        <v>1</v>
      </c>
      <c r="F8" t="b">
        <v>0</v>
      </c>
      <c r="H8">
        <v>1</v>
      </c>
      <c r="I8">
        <v>1</v>
      </c>
      <c r="J8">
        <v>1</v>
      </c>
      <c r="K8">
        <v>1</v>
      </c>
      <c r="L8">
        <v>1</v>
      </c>
      <c r="M8">
        <v>1</v>
      </c>
      <c r="N8">
        <v>1</v>
      </c>
      <c r="O8">
        <v>5</v>
      </c>
      <c r="P8">
        <v>5</v>
      </c>
      <c r="R8" t="s">
        <v>26</v>
      </c>
      <c r="S8" t="s">
        <v>27</v>
      </c>
      <c r="T8" t="s">
        <v>27</v>
      </c>
      <c r="U8">
        <v>0.6</v>
      </c>
      <c r="V8" t="s">
        <v>40</v>
      </c>
      <c r="W8" t="s">
        <v>41</v>
      </c>
    </row>
    <row r="9" spans="1:23" x14ac:dyDescent="0.25">
      <c r="A9" t="s">
        <v>23</v>
      </c>
      <c r="B9" t="s">
        <v>24</v>
      </c>
      <c r="C9" t="s">
        <v>25</v>
      </c>
      <c r="D9">
        <v>8</v>
      </c>
      <c r="E9" t="b">
        <v>0</v>
      </c>
      <c r="F9" t="b">
        <v>1</v>
      </c>
      <c r="G9" t="s">
        <v>42</v>
      </c>
      <c r="H9">
        <v>0</v>
      </c>
      <c r="I9">
        <v>0</v>
      </c>
      <c r="O9">
        <v>0</v>
      </c>
      <c r="P9">
        <v>0</v>
      </c>
      <c r="Q9">
        <v>0</v>
      </c>
      <c r="R9" t="s">
        <v>43</v>
      </c>
      <c r="S9" t="s">
        <v>27</v>
      </c>
      <c r="T9" t="s">
        <v>44</v>
      </c>
      <c r="U9">
        <v>0.6</v>
      </c>
      <c r="V9" t="s">
        <v>45</v>
      </c>
      <c r="W9" t="s">
        <v>46</v>
      </c>
    </row>
    <row r="10" spans="1:23" x14ac:dyDescent="0.25">
      <c r="A10" t="s">
        <v>23</v>
      </c>
      <c r="B10" t="s">
        <v>24</v>
      </c>
      <c r="C10" t="s">
        <v>25</v>
      </c>
      <c r="D10">
        <v>9</v>
      </c>
      <c r="E10" t="b">
        <v>0</v>
      </c>
      <c r="F10" t="b">
        <v>1</v>
      </c>
      <c r="G10" t="s">
        <v>42</v>
      </c>
      <c r="H10">
        <v>0</v>
      </c>
      <c r="I10">
        <v>0</v>
      </c>
      <c r="O10">
        <v>0</v>
      </c>
      <c r="P10">
        <v>0</v>
      </c>
      <c r="Q10">
        <v>0</v>
      </c>
      <c r="R10" t="s">
        <v>43</v>
      </c>
      <c r="S10" t="s">
        <v>27</v>
      </c>
      <c r="T10" t="s">
        <v>44</v>
      </c>
      <c r="U10">
        <v>0.6</v>
      </c>
      <c r="V10" t="s">
        <v>47</v>
      </c>
      <c r="W10" t="s">
        <v>48</v>
      </c>
    </row>
    <row r="11" spans="1:23" x14ac:dyDescent="0.25">
      <c r="A11" t="s">
        <v>23</v>
      </c>
      <c r="B11" t="s">
        <v>24</v>
      </c>
      <c r="C11" t="s">
        <v>25</v>
      </c>
      <c r="D11">
        <v>10</v>
      </c>
      <c r="E11" t="b">
        <v>0</v>
      </c>
      <c r="F11" t="b">
        <v>1</v>
      </c>
      <c r="G11" t="s">
        <v>49</v>
      </c>
      <c r="H11">
        <v>0</v>
      </c>
      <c r="I11">
        <v>1</v>
      </c>
      <c r="O11">
        <v>0</v>
      </c>
      <c r="P11">
        <v>0</v>
      </c>
      <c r="Q11">
        <v>1</v>
      </c>
      <c r="R11" t="s">
        <v>50</v>
      </c>
      <c r="S11" t="s">
        <v>44</v>
      </c>
      <c r="T11" t="s">
        <v>44</v>
      </c>
      <c r="U11">
        <v>0.6</v>
      </c>
      <c r="V11" t="s">
        <v>51</v>
      </c>
      <c r="W11" t="s">
        <v>52</v>
      </c>
    </row>
    <row r="12" spans="1:23" x14ac:dyDescent="0.25">
      <c r="A12" t="s">
        <v>23</v>
      </c>
      <c r="B12" t="s">
        <v>24</v>
      </c>
      <c r="C12" t="s">
        <v>25</v>
      </c>
      <c r="D12">
        <v>11</v>
      </c>
      <c r="E12" t="b">
        <v>1</v>
      </c>
      <c r="F12" t="b">
        <v>0</v>
      </c>
      <c r="H12">
        <v>2</v>
      </c>
      <c r="I12">
        <v>0.5</v>
      </c>
      <c r="J12">
        <v>1</v>
      </c>
      <c r="K12">
        <v>0.5</v>
      </c>
      <c r="L12">
        <v>0.66666666666666663</v>
      </c>
      <c r="M12">
        <v>0</v>
      </c>
      <c r="N12">
        <v>0</v>
      </c>
      <c r="O12">
        <v>6</v>
      </c>
      <c r="P12">
        <v>3</v>
      </c>
      <c r="R12" t="s">
        <v>53</v>
      </c>
      <c r="S12" t="s">
        <v>44</v>
      </c>
      <c r="T12" t="s">
        <v>44</v>
      </c>
      <c r="U12">
        <v>0.6</v>
      </c>
      <c r="V12" t="s">
        <v>54</v>
      </c>
      <c r="W12" t="s">
        <v>55</v>
      </c>
    </row>
    <row r="13" spans="1:23" x14ac:dyDescent="0.25">
      <c r="A13" t="s">
        <v>23</v>
      </c>
      <c r="B13" t="s">
        <v>24</v>
      </c>
      <c r="C13" t="s">
        <v>25</v>
      </c>
      <c r="D13">
        <v>12</v>
      </c>
      <c r="E13" t="b">
        <v>1</v>
      </c>
      <c r="F13" t="b">
        <v>0</v>
      </c>
      <c r="H13">
        <v>3</v>
      </c>
      <c r="I13">
        <v>1</v>
      </c>
      <c r="J13">
        <v>1</v>
      </c>
      <c r="K13">
        <v>1</v>
      </c>
      <c r="L13">
        <v>1</v>
      </c>
      <c r="M13">
        <v>1</v>
      </c>
      <c r="N13">
        <v>1</v>
      </c>
      <c r="O13">
        <v>12</v>
      </c>
      <c r="P13">
        <v>12</v>
      </c>
      <c r="R13" t="s">
        <v>53</v>
      </c>
      <c r="S13" t="s">
        <v>44</v>
      </c>
      <c r="T13" t="s">
        <v>27</v>
      </c>
      <c r="U13">
        <v>0.6</v>
      </c>
      <c r="V13" t="s">
        <v>56</v>
      </c>
      <c r="W13" t="s">
        <v>57</v>
      </c>
    </row>
    <row r="14" spans="1:23" x14ac:dyDescent="0.25">
      <c r="A14" t="s">
        <v>23</v>
      </c>
      <c r="B14" t="s">
        <v>24</v>
      </c>
      <c r="C14" t="s">
        <v>25</v>
      </c>
      <c r="D14">
        <v>13</v>
      </c>
      <c r="E14" t="b">
        <v>1</v>
      </c>
      <c r="F14" t="b">
        <v>0</v>
      </c>
      <c r="H14">
        <v>4</v>
      </c>
      <c r="I14">
        <v>0.66666666666666663</v>
      </c>
      <c r="J14">
        <v>1</v>
      </c>
      <c r="K14">
        <v>0.66666666666666663</v>
      </c>
      <c r="L14">
        <v>0.8</v>
      </c>
      <c r="M14">
        <v>0</v>
      </c>
      <c r="N14">
        <v>0</v>
      </c>
      <c r="O14">
        <v>12</v>
      </c>
      <c r="P14">
        <v>8</v>
      </c>
      <c r="R14" t="s">
        <v>43</v>
      </c>
      <c r="S14" t="s">
        <v>27</v>
      </c>
      <c r="T14" t="s">
        <v>44</v>
      </c>
      <c r="U14">
        <v>0.6</v>
      </c>
      <c r="V14" t="s">
        <v>58</v>
      </c>
      <c r="W14" t="s">
        <v>59</v>
      </c>
    </row>
    <row r="15" spans="1:23" x14ac:dyDescent="0.25">
      <c r="A15" t="s">
        <v>23</v>
      </c>
      <c r="B15" t="s">
        <v>24</v>
      </c>
      <c r="C15" t="s">
        <v>25</v>
      </c>
      <c r="D15">
        <v>14</v>
      </c>
      <c r="E15" t="b">
        <v>1</v>
      </c>
      <c r="F15" t="b">
        <v>0</v>
      </c>
      <c r="H15">
        <v>3</v>
      </c>
      <c r="I15">
        <v>1</v>
      </c>
      <c r="J15">
        <v>1</v>
      </c>
      <c r="K15">
        <v>1</v>
      </c>
      <c r="L15">
        <v>1</v>
      </c>
      <c r="M15">
        <v>1</v>
      </c>
      <c r="N15">
        <v>1</v>
      </c>
      <c r="O15">
        <v>9</v>
      </c>
      <c r="P15">
        <v>9</v>
      </c>
      <c r="R15" t="s">
        <v>26</v>
      </c>
      <c r="S15" t="s">
        <v>27</v>
      </c>
      <c r="T15" t="s">
        <v>27</v>
      </c>
      <c r="U15">
        <v>0.6</v>
      </c>
      <c r="V15" t="s">
        <v>60</v>
      </c>
      <c r="W15" t="s">
        <v>61</v>
      </c>
    </row>
    <row r="16" spans="1:23" x14ac:dyDescent="0.25">
      <c r="A16" t="s">
        <v>23</v>
      </c>
      <c r="B16" t="s">
        <v>24</v>
      </c>
      <c r="C16" t="s">
        <v>25</v>
      </c>
      <c r="D16">
        <v>15</v>
      </c>
      <c r="E16" t="b">
        <v>0</v>
      </c>
      <c r="F16" t="b">
        <v>1</v>
      </c>
      <c r="G16" t="s">
        <v>49</v>
      </c>
      <c r="H16">
        <v>0</v>
      </c>
      <c r="I16">
        <v>1</v>
      </c>
      <c r="O16">
        <v>0</v>
      </c>
      <c r="P16">
        <v>0</v>
      </c>
      <c r="Q16">
        <v>1</v>
      </c>
      <c r="R16" t="s">
        <v>50</v>
      </c>
      <c r="S16" t="s">
        <v>44</v>
      </c>
      <c r="T16" t="s">
        <v>44</v>
      </c>
      <c r="U16">
        <v>0.6</v>
      </c>
      <c r="V16" t="s">
        <v>62</v>
      </c>
      <c r="W16" t="s">
        <v>63</v>
      </c>
    </row>
    <row r="17" spans="1:23" x14ac:dyDescent="0.25">
      <c r="A17" t="s">
        <v>23</v>
      </c>
      <c r="B17" t="s">
        <v>24</v>
      </c>
      <c r="C17" t="s">
        <v>25</v>
      </c>
      <c r="D17">
        <v>16</v>
      </c>
      <c r="E17" t="b">
        <v>1</v>
      </c>
      <c r="F17" t="b">
        <v>0</v>
      </c>
      <c r="H17">
        <v>1</v>
      </c>
      <c r="I17">
        <v>1</v>
      </c>
      <c r="J17">
        <v>1</v>
      </c>
      <c r="K17">
        <v>1</v>
      </c>
      <c r="L17">
        <v>1</v>
      </c>
      <c r="M17">
        <v>1</v>
      </c>
      <c r="N17">
        <v>1</v>
      </c>
      <c r="O17">
        <v>6</v>
      </c>
      <c r="P17">
        <v>6</v>
      </c>
      <c r="R17" t="s">
        <v>26</v>
      </c>
      <c r="S17" t="s">
        <v>27</v>
      </c>
      <c r="T17" t="s">
        <v>27</v>
      </c>
      <c r="U17">
        <v>0.6</v>
      </c>
      <c r="V17" t="s">
        <v>64</v>
      </c>
      <c r="W17" t="s">
        <v>65</v>
      </c>
    </row>
    <row r="18" spans="1:23" x14ac:dyDescent="0.25">
      <c r="A18" t="s">
        <v>23</v>
      </c>
      <c r="B18" t="s">
        <v>24</v>
      </c>
      <c r="C18" t="s">
        <v>25</v>
      </c>
      <c r="D18">
        <v>17</v>
      </c>
      <c r="E18" t="b">
        <v>1</v>
      </c>
      <c r="F18" t="b">
        <v>0</v>
      </c>
      <c r="H18">
        <v>5</v>
      </c>
      <c r="I18">
        <v>0.83333333333333337</v>
      </c>
      <c r="J18">
        <v>1</v>
      </c>
      <c r="K18">
        <v>0.83333333333333337</v>
      </c>
      <c r="L18">
        <v>0.90909090909090906</v>
      </c>
      <c r="M18">
        <v>0.2</v>
      </c>
      <c r="N18">
        <v>0.2</v>
      </c>
      <c r="O18">
        <v>30</v>
      </c>
      <c r="P18">
        <v>25</v>
      </c>
      <c r="R18" t="s">
        <v>43</v>
      </c>
      <c r="S18" t="s">
        <v>27</v>
      </c>
      <c r="T18" t="s">
        <v>44</v>
      </c>
      <c r="U18">
        <v>0.6</v>
      </c>
      <c r="V18" t="s">
        <v>66</v>
      </c>
      <c r="W18" t="s">
        <v>67</v>
      </c>
    </row>
    <row r="19" spans="1:23" x14ac:dyDescent="0.25">
      <c r="A19" t="s">
        <v>23</v>
      </c>
      <c r="B19" t="s">
        <v>24</v>
      </c>
      <c r="C19" t="s">
        <v>25</v>
      </c>
      <c r="D19">
        <v>18</v>
      </c>
      <c r="E19" t="b">
        <v>1</v>
      </c>
      <c r="F19" t="b">
        <v>0</v>
      </c>
      <c r="H19">
        <v>5</v>
      </c>
      <c r="I19">
        <v>0.83333333333333337</v>
      </c>
      <c r="J19">
        <v>1</v>
      </c>
      <c r="K19">
        <v>0.83333333333333337</v>
      </c>
      <c r="L19">
        <v>0.90909090909090906</v>
      </c>
      <c r="M19">
        <v>0.2</v>
      </c>
      <c r="N19">
        <v>0.2</v>
      </c>
      <c r="O19">
        <v>30</v>
      </c>
      <c r="P19">
        <v>25</v>
      </c>
      <c r="R19" t="s">
        <v>43</v>
      </c>
      <c r="S19" t="s">
        <v>27</v>
      </c>
      <c r="T19" t="s">
        <v>44</v>
      </c>
      <c r="U19">
        <v>0.6</v>
      </c>
      <c r="V19" t="s">
        <v>68</v>
      </c>
      <c r="W19" t="s">
        <v>69</v>
      </c>
    </row>
    <row r="20" spans="1:23" x14ac:dyDescent="0.25">
      <c r="A20" t="s">
        <v>23</v>
      </c>
      <c r="B20" t="s">
        <v>24</v>
      </c>
      <c r="C20" t="s">
        <v>25</v>
      </c>
      <c r="D20">
        <v>19</v>
      </c>
      <c r="E20" t="b">
        <v>1</v>
      </c>
      <c r="F20" t="b">
        <v>0</v>
      </c>
      <c r="H20">
        <v>1</v>
      </c>
      <c r="I20">
        <v>0.5714285714285714</v>
      </c>
      <c r="J20">
        <v>1</v>
      </c>
      <c r="K20">
        <v>0.5714285714285714</v>
      </c>
      <c r="L20">
        <v>0.72727272727272729</v>
      </c>
      <c r="M20">
        <v>0</v>
      </c>
      <c r="N20">
        <v>0</v>
      </c>
      <c r="O20">
        <v>7</v>
      </c>
      <c r="P20">
        <v>4</v>
      </c>
      <c r="R20" t="s">
        <v>43</v>
      </c>
      <c r="S20" t="s">
        <v>27</v>
      </c>
      <c r="T20" t="s">
        <v>44</v>
      </c>
      <c r="U20">
        <v>0.6</v>
      </c>
      <c r="V20" t="s">
        <v>70</v>
      </c>
      <c r="W20" t="s">
        <v>71</v>
      </c>
    </row>
    <row r="21" spans="1:23" x14ac:dyDescent="0.25">
      <c r="A21" t="s">
        <v>23</v>
      </c>
      <c r="B21" t="s">
        <v>24</v>
      </c>
      <c r="C21" t="s">
        <v>25</v>
      </c>
      <c r="D21">
        <v>20</v>
      </c>
      <c r="E21" t="b">
        <v>1</v>
      </c>
      <c r="F21" t="b">
        <v>0</v>
      </c>
      <c r="H21">
        <v>5</v>
      </c>
      <c r="I21">
        <v>0.71428571428571419</v>
      </c>
      <c r="J21">
        <v>1</v>
      </c>
      <c r="K21">
        <v>0.7142857142857143</v>
      </c>
      <c r="L21">
        <v>0.83333333333333337</v>
      </c>
      <c r="M21">
        <v>0</v>
      </c>
      <c r="N21">
        <v>0</v>
      </c>
      <c r="O21">
        <v>35</v>
      </c>
      <c r="P21">
        <v>25</v>
      </c>
      <c r="R21" t="s">
        <v>53</v>
      </c>
      <c r="S21" t="s">
        <v>44</v>
      </c>
      <c r="T21" t="s">
        <v>44</v>
      </c>
      <c r="U21">
        <v>0.6</v>
      </c>
      <c r="V21" t="s">
        <v>68</v>
      </c>
      <c r="W21" t="s">
        <v>72</v>
      </c>
    </row>
    <row r="22" spans="1:23" x14ac:dyDescent="0.25">
      <c r="A22" t="s">
        <v>23</v>
      </c>
      <c r="B22" t="s">
        <v>24</v>
      </c>
      <c r="C22" t="s">
        <v>25</v>
      </c>
      <c r="D22">
        <v>21</v>
      </c>
      <c r="E22" t="b">
        <v>0</v>
      </c>
      <c r="F22" t="b">
        <v>1</v>
      </c>
      <c r="G22" t="s">
        <v>42</v>
      </c>
      <c r="H22">
        <v>0</v>
      </c>
      <c r="I22">
        <v>0</v>
      </c>
      <c r="O22">
        <v>0</v>
      </c>
      <c r="P22">
        <v>0</v>
      </c>
      <c r="Q22">
        <v>0</v>
      </c>
      <c r="R22" t="s">
        <v>43</v>
      </c>
      <c r="S22" t="s">
        <v>27</v>
      </c>
      <c r="T22" t="s">
        <v>44</v>
      </c>
      <c r="U22">
        <v>0.6</v>
      </c>
      <c r="V22" t="s">
        <v>73</v>
      </c>
      <c r="W22" t="s">
        <v>74</v>
      </c>
    </row>
    <row r="23" spans="1:23" x14ac:dyDescent="0.25">
      <c r="I23">
        <f>AVERAGE(I2:I22)</f>
        <v>0.76757369614512483</v>
      </c>
      <c r="M23">
        <f>AVERAGE(M2:M22)</f>
        <v>0.64999999999999991</v>
      </c>
      <c r="N23">
        <f>AVERAGE(N2:N22)</f>
        <v>0.64999999999999991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7"/>
  <sheetViews>
    <sheetView workbookViewId="0"/>
  </sheetViews>
  <sheetFormatPr defaultRowHeight="15" x14ac:dyDescent="0.25"/>
  <sheetData>
    <row r="1" spans="1:21" x14ac:dyDescent="0.25">
      <c r="A1" s="1" t="s">
        <v>0</v>
      </c>
      <c r="B1" s="1" t="s">
        <v>1</v>
      </c>
      <c r="C1" s="1" t="s">
        <v>2</v>
      </c>
      <c r="D1" s="1" t="s">
        <v>3</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row>
    <row r="2" spans="1:21" x14ac:dyDescent="0.25">
      <c r="A2" t="s">
        <v>23</v>
      </c>
      <c r="B2" t="s">
        <v>24</v>
      </c>
      <c r="C2" t="s">
        <v>25</v>
      </c>
      <c r="D2">
        <v>1</v>
      </c>
      <c r="E2">
        <v>1</v>
      </c>
      <c r="F2" t="s">
        <v>92</v>
      </c>
      <c r="G2" t="s">
        <v>93</v>
      </c>
      <c r="H2">
        <v>7184</v>
      </c>
      <c r="I2">
        <v>1</v>
      </c>
      <c r="J2">
        <v>1</v>
      </c>
      <c r="K2">
        <v>4500000000</v>
      </c>
      <c r="L2">
        <v>4</v>
      </c>
      <c r="M2">
        <v>199</v>
      </c>
      <c r="N2">
        <v>199</v>
      </c>
      <c r="P2">
        <v>2</v>
      </c>
      <c r="R2">
        <v>1</v>
      </c>
      <c r="S2">
        <v>1</v>
      </c>
      <c r="U2" t="s">
        <v>94</v>
      </c>
    </row>
    <row r="3" spans="1:21" x14ac:dyDescent="0.25">
      <c r="A3" t="s">
        <v>23</v>
      </c>
      <c r="B3" t="s">
        <v>24</v>
      </c>
      <c r="C3" t="s">
        <v>25</v>
      </c>
      <c r="D3">
        <v>1</v>
      </c>
      <c r="E3">
        <v>2</v>
      </c>
      <c r="F3" t="s">
        <v>95</v>
      </c>
      <c r="G3" t="s">
        <v>96</v>
      </c>
      <c r="H3">
        <v>7801</v>
      </c>
      <c r="I3">
        <v>1</v>
      </c>
      <c r="J3">
        <v>1</v>
      </c>
      <c r="K3">
        <v>3500000000</v>
      </c>
      <c r="L3">
        <v>5</v>
      </c>
      <c r="M3">
        <v>0</v>
      </c>
      <c r="N3">
        <v>500</v>
      </c>
      <c r="P3">
        <v>2</v>
      </c>
      <c r="Q3" t="s">
        <v>97</v>
      </c>
      <c r="R3">
        <v>1</v>
      </c>
      <c r="S3">
        <v>1</v>
      </c>
      <c r="U3" t="s">
        <v>94</v>
      </c>
    </row>
    <row r="4" spans="1:21" x14ac:dyDescent="0.25">
      <c r="A4" t="s">
        <v>23</v>
      </c>
      <c r="B4" t="s">
        <v>24</v>
      </c>
      <c r="C4" t="s">
        <v>25</v>
      </c>
      <c r="D4">
        <v>2</v>
      </c>
      <c r="E4">
        <v>1</v>
      </c>
      <c r="F4" t="s">
        <v>98</v>
      </c>
      <c r="G4" t="s">
        <v>96</v>
      </c>
      <c r="H4">
        <v>7801</v>
      </c>
      <c r="I4">
        <v>1</v>
      </c>
      <c r="J4">
        <v>1</v>
      </c>
      <c r="K4">
        <v>3500000000</v>
      </c>
      <c r="L4">
        <v>5</v>
      </c>
      <c r="M4">
        <v>0</v>
      </c>
      <c r="N4">
        <v>500</v>
      </c>
      <c r="P4">
        <v>2</v>
      </c>
      <c r="Q4" t="s">
        <v>97</v>
      </c>
      <c r="R4">
        <v>1</v>
      </c>
      <c r="S4">
        <v>1</v>
      </c>
      <c r="U4" t="s">
        <v>94</v>
      </c>
    </row>
    <row r="5" spans="1:21" x14ac:dyDescent="0.25">
      <c r="A5" t="s">
        <v>23</v>
      </c>
      <c r="B5" t="s">
        <v>24</v>
      </c>
      <c r="C5" t="s">
        <v>25</v>
      </c>
      <c r="D5">
        <v>3</v>
      </c>
      <c r="E5">
        <v>1</v>
      </c>
      <c r="F5" t="s">
        <v>99</v>
      </c>
      <c r="G5" t="s">
        <v>100</v>
      </c>
      <c r="H5">
        <v>9994</v>
      </c>
      <c r="I5">
        <v>1</v>
      </c>
      <c r="J5">
        <v>1</v>
      </c>
      <c r="K5">
        <v>650000000</v>
      </c>
      <c r="L5">
        <v>2</v>
      </c>
      <c r="M5">
        <v>60</v>
      </c>
      <c r="N5">
        <v>90</v>
      </c>
      <c r="P5">
        <v>1</v>
      </c>
      <c r="Q5" t="s">
        <v>97</v>
      </c>
      <c r="R5">
        <v>1</v>
      </c>
      <c r="S5">
        <v>1</v>
      </c>
      <c r="T5" t="s">
        <v>101</v>
      </c>
      <c r="U5" t="s">
        <v>102</v>
      </c>
    </row>
    <row r="6" spans="1:21" x14ac:dyDescent="0.25">
      <c r="A6" t="s">
        <v>23</v>
      </c>
      <c r="B6" t="s">
        <v>24</v>
      </c>
      <c r="C6" t="s">
        <v>25</v>
      </c>
      <c r="D6">
        <v>4</v>
      </c>
      <c r="E6">
        <v>1</v>
      </c>
      <c r="F6" t="s">
        <v>103</v>
      </c>
      <c r="G6" t="s">
        <v>104</v>
      </c>
      <c r="H6">
        <v>9878</v>
      </c>
      <c r="I6">
        <v>1</v>
      </c>
      <c r="J6">
        <v>1</v>
      </c>
      <c r="K6">
        <v>695000000</v>
      </c>
      <c r="M6">
        <v>120</v>
      </c>
      <c r="N6">
        <v>76</v>
      </c>
      <c r="P6">
        <v>2</v>
      </c>
      <c r="R6">
        <v>1</v>
      </c>
      <c r="S6">
        <v>1</v>
      </c>
      <c r="T6" t="s">
        <v>105</v>
      </c>
      <c r="U6" t="s">
        <v>106</v>
      </c>
    </row>
    <row r="7" spans="1:21" x14ac:dyDescent="0.25">
      <c r="A7" t="s">
        <v>23</v>
      </c>
      <c r="B7" t="s">
        <v>24</v>
      </c>
      <c r="C7" t="s">
        <v>25</v>
      </c>
      <c r="D7">
        <v>4</v>
      </c>
      <c r="E7">
        <v>2</v>
      </c>
      <c r="F7" t="s">
        <v>107</v>
      </c>
      <c r="G7" t="s">
        <v>108</v>
      </c>
      <c r="H7">
        <v>8341</v>
      </c>
      <c r="I7">
        <v>1</v>
      </c>
      <c r="J7">
        <v>1</v>
      </c>
      <c r="K7">
        <v>1000000000</v>
      </c>
      <c r="L7">
        <v>2</v>
      </c>
      <c r="M7">
        <v>168</v>
      </c>
      <c r="N7">
        <v>64</v>
      </c>
      <c r="P7">
        <v>3</v>
      </c>
      <c r="R7">
        <v>1</v>
      </c>
      <c r="S7">
        <v>1</v>
      </c>
      <c r="T7" t="s">
        <v>109</v>
      </c>
      <c r="U7" t="s">
        <v>106</v>
      </c>
    </row>
    <row r="8" spans="1:21" x14ac:dyDescent="0.25">
      <c r="A8" t="s">
        <v>23</v>
      </c>
      <c r="B8" t="s">
        <v>24</v>
      </c>
      <c r="C8" t="s">
        <v>25</v>
      </c>
      <c r="D8">
        <v>4</v>
      </c>
      <c r="E8">
        <v>3</v>
      </c>
      <c r="F8" t="s">
        <v>110</v>
      </c>
      <c r="G8" t="s">
        <v>111</v>
      </c>
      <c r="H8">
        <v>7426</v>
      </c>
      <c r="I8">
        <v>1</v>
      </c>
      <c r="J8">
        <v>1</v>
      </c>
      <c r="K8">
        <v>760000000</v>
      </c>
      <c r="M8">
        <v>95</v>
      </c>
      <c r="N8">
        <v>55</v>
      </c>
      <c r="P8">
        <v>2</v>
      </c>
      <c r="R8">
        <v>1</v>
      </c>
      <c r="S8">
        <v>1</v>
      </c>
      <c r="T8" t="s">
        <v>112</v>
      </c>
      <c r="U8" t="s">
        <v>106</v>
      </c>
    </row>
    <row r="9" spans="1:21" x14ac:dyDescent="0.25">
      <c r="A9" t="s">
        <v>23</v>
      </c>
      <c r="B9" t="s">
        <v>24</v>
      </c>
      <c r="C9" t="s">
        <v>25</v>
      </c>
      <c r="D9">
        <v>4</v>
      </c>
      <c r="E9">
        <v>4</v>
      </c>
      <c r="F9" t="s">
        <v>113</v>
      </c>
      <c r="G9" t="s">
        <v>114</v>
      </c>
      <c r="H9">
        <v>7274</v>
      </c>
      <c r="I9">
        <v>1</v>
      </c>
      <c r="J9">
        <v>1</v>
      </c>
      <c r="K9">
        <v>4000000000</v>
      </c>
      <c r="L9">
        <v>5</v>
      </c>
      <c r="M9">
        <v>280</v>
      </c>
      <c r="N9">
        <v>160</v>
      </c>
      <c r="P9">
        <v>3</v>
      </c>
      <c r="R9">
        <v>1</v>
      </c>
      <c r="S9">
        <v>1</v>
      </c>
      <c r="T9" t="s">
        <v>101</v>
      </c>
      <c r="U9" t="s">
        <v>106</v>
      </c>
    </row>
    <row r="10" spans="1:21" x14ac:dyDescent="0.25">
      <c r="A10" t="s">
        <v>23</v>
      </c>
      <c r="B10" t="s">
        <v>24</v>
      </c>
      <c r="C10" t="s">
        <v>25</v>
      </c>
      <c r="D10">
        <v>4</v>
      </c>
      <c r="E10">
        <v>5</v>
      </c>
      <c r="F10" t="s">
        <v>115</v>
      </c>
      <c r="G10" t="s">
        <v>116</v>
      </c>
      <c r="H10">
        <v>9278</v>
      </c>
      <c r="I10">
        <v>1</v>
      </c>
      <c r="J10">
        <v>1</v>
      </c>
      <c r="K10">
        <v>8500000000</v>
      </c>
      <c r="L10">
        <v>5</v>
      </c>
      <c r="M10">
        <v>720</v>
      </c>
      <c r="N10">
        <v>300</v>
      </c>
      <c r="P10">
        <v>3</v>
      </c>
      <c r="Q10" t="s">
        <v>117</v>
      </c>
      <c r="R10">
        <v>1</v>
      </c>
      <c r="S10">
        <v>1</v>
      </c>
      <c r="T10" t="s">
        <v>109</v>
      </c>
      <c r="U10" t="s">
        <v>106</v>
      </c>
    </row>
    <row r="11" spans="1:21" x14ac:dyDescent="0.25">
      <c r="A11" t="s">
        <v>23</v>
      </c>
      <c r="B11" t="s">
        <v>24</v>
      </c>
      <c r="C11" t="s">
        <v>25</v>
      </c>
      <c r="D11">
        <v>5</v>
      </c>
      <c r="E11">
        <v>1</v>
      </c>
      <c r="F11" t="s">
        <v>118</v>
      </c>
      <c r="G11" t="s">
        <v>119</v>
      </c>
      <c r="H11">
        <v>7980</v>
      </c>
      <c r="I11">
        <v>1</v>
      </c>
      <c r="J11">
        <v>1</v>
      </c>
      <c r="K11">
        <v>900000000</v>
      </c>
      <c r="L11">
        <v>3</v>
      </c>
      <c r="M11">
        <v>90</v>
      </c>
      <c r="N11">
        <v>90</v>
      </c>
      <c r="P11">
        <v>2</v>
      </c>
      <c r="R11">
        <v>1</v>
      </c>
      <c r="S11">
        <v>1</v>
      </c>
      <c r="T11" t="s">
        <v>105</v>
      </c>
      <c r="U11" t="s">
        <v>106</v>
      </c>
    </row>
    <row r="12" spans="1:21" x14ac:dyDescent="0.25">
      <c r="A12" t="s">
        <v>23</v>
      </c>
      <c r="B12" t="s">
        <v>24</v>
      </c>
      <c r="C12" t="s">
        <v>25</v>
      </c>
      <c r="D12">
        <v>5</v>
      </c>
      <c r="E12">
        <v>2</v>
      </c>
      <c r="F12" t="s">
        <v>120</v>
      </c>
      <c r="G12" t="s">
        <v>121</v>
      </c>
      <c r="H12">
        <v>9821</v>
      </c>
      <c r="I12">
        <v>1</v>
      </c>
      <c r="J12">
        <v>1</v>
      </c>
      <c r="K12">
        <v>1300000000</v>
      </c>
      <c r="L12">
        <v>3</v>
      </c>
      <c r="M12">
        <v>140</v>
      </c>
      <c r="N12">
        <v>162</v>
      </c>
      <c r="P12">
        <v>2</v>
      </c>
      <c r="R12">
        <v>1</v>
      </c>
      <c r="S12">
        <v>1</v>
      </c>
      <c r="U12" t="s">
        <v>106</v>
      </c>
    </row>
    <row r="13" spans="1:21" x14ac:dyDescent="0.25">
      <c r="A13" t="s">
        <v>23</v>
      </c>
      <c r="B13" t="s">
        <v>24</v>
      </c>
      <c r="C13" t="s">
        <v>25</v>
      </c>
      <c r="D13">
        <v>5</v>
      </c>
      <c r="E13">
        <v>3</v>
      </c>
      <c r="F13" t="s">
        <v>122</v>
      </c>
      <c r="G13" t="s">
        <v>123</v>
      </c>
      <c r="H13">
        <v>9724</v>
      </c>
      <c r="I13">
        <v>1</v>
      </c>
      <c r="J13">
        <v>1</v>
      </c>
      <c r="K13">
        <v>1300000000</v>
      </c>
      <c r="L13">
        <v>3</v>
      </c>
      <c r="M13">
        <v>144</v>
      </c>
      <c r="N13">
        <v>84</v>
      </c>
      <c r="P13">
        <v>2</v>
      </c>
      <c r="R13">
        <v>1</v>
      </c>
      <c r="S13">
        <v>1</v>
      </c>
      <c r="U13" t="s">
        <v>106</v>
      </c>
    </row>
    <row r="14" spans="1:21" x14ac:dyDescent="0.25">
      <c r="A14" t="s">
        <v>23</v>
      </c>
      <c r="B14" t="s">
        <v>24</v>
      </c>
      <c r="C14" t="s">
        <v>25</v>
      </c>
      <c r="D14">
        <v>5</v>
      </c>
      <c r="E14">
        <v>4</v>
      </c>
      <c r="F14" t="s">
        <v>124</v>
      </c>
      <c r="G14" t="s">
        <v>125</v>
      </c>
      <c r="H14">
        <v>7329</v>
      </c>
      <c r="I14">
        <v>1</v>
      </c>
      <c r="J14">
        <v>1</v>
      </c>
      <c r="K14">
        <v>950000000</v>
      </c>
      <c r="L14">
        <v>4</v>
      </c>
      <c r="M14">
        <v>192</v>
      </c>
      <c r="N14">
        <v>96</v>
      </c>
      <c r="P14">
        <v>2</v>
      </c>
      <c r="R14">
        <v>1</v>
      </c>
      <c r="S14">
        <v>1</v>
      </c>
      <c r="T14" t="s">
        <v>101</v>
      </c>
      <c r="U14" t="s">
        <v>106</v>
      </c>
    </row>
    <row r="15" spans="1:21" x14ac:dyDescent="0.25">
      <c r="A15" t="s">
        <v>23</v>
      </c>
      <c r="B15" t="s">
        <v>24</v>
      </c>
      <c r="C15" t="s">
        <v>25</v>
      </c>
      <c r="D15">
        <v>5</v>
      </c>
      <c r="E15">
        <v>5</v>
      </c>
      <c r="F15" t="s">
        <v>126</v>
      </c>
      <c r="G15" t="s">
        <v>127</v>
      </c>
      <c r="H15">
        <v>9826</v>
      </c>
      <c r="I15">
        <v>1</v>
      </c>
      <c r="J15">
        <v>1</v>
      </c>
      <c r="K15">
        <v>2500000000</v>
      </c>
      <c r="L15">
        <v>6</v>
      </c>
      <c r="M15">
        <v>300</v>
      </c>
      <c r="N15">
        <v>368</v>
      </c>
      <c r="P15">
        <v>2</v>
      </c>
      <c r="R15">
        <v>1</v>
      </c>
      <c r="S15">
        <v>1</v>
      </c>
      <c r="T15" t="s">
        <v>112</v>
      </c>
      <c r="U15" t="s">
        <v>106</v>
      </c>
    </row>
    <row r="16" spans="1:21" x14ac:dyDescent="0.25">
      <c r="A16" t="s">
        <v>23</v>
      </c>
      <c r="B16" t="s">
        <v>24</v>
      </c>
      <c r="C16" t="s">
        <v>25</v>
      </c>
      <c r="D16">
        <v>6</v>
      </c>
      <c r="E16">
        <v>1</v>
      </c>
      <c r="F16" t="s">
        <v>128</v>
      </c>
      <c r="G16" t="s">
        <v>129</v>
      </c>
      <c r="H16">
        <v>9976</v>
      </c>
      <c r="I16">
        <v>1</v>
      </c>
      <c r="J16">
        <v>1</v>
      </c>
      <c r="K16">
        <v>60000000</v>
      </c>
      <c r="L16">
        <v>3</v>
      </c>
      <c r="M16">
        <v>180</v>
      </c>
      <c r="N16">
        <v>135</v>
      </c>
      <c r="P16">
        <v>2</v>
      </c>
      <c r="R16">
        <v>1</v>
      </c>
      <c r="S16">
        <v>2</v>
      </c>
      <c r="T16" t="s">
        <v>112</v>
      </c>
      <c r="U16" t="s">
        <v>106</v>
      </c>
    </row>
    <row r="17" spans="1:21" x14ac:dyDescent="0.25">
      <c r="A17" t="s">
        <v>23</v>
      </c>
      <c r="B17" t="s">
        <v>24</v>
      </c>
      <c r="C17" t="s">
        <v>25</v>
      </c>
      <c r="D17">
        <v>6</v>
      </c>
      <c r="E17">
        <v>2</v>
      </c>
      <c r="F17" t="s">
        <v>130</v>
      </c>
      <c r="G17" t="s">
        <v>131</v>
      </c>
      <c r="H17">
        <v>8155</v>
      </c>
      <c r="I17">
        <v>1</v>
      </c>
      <c r="J17">
        <v>1</v>
      </c>
      <c r="K17">
        <v>13500000</v>
      </c>
      <c r="L17">
        <v>2</v>
      </c>
      <c r="M17">
        <v>54</v>
      </c>
      <c r="N17">
        <v>102</v>
      </c>
      <c r="P17">
        <v>1</v>
      </c>
      <c r="R17">
        <v>1</v>
      </c>
      <c r="S17">
        <v>2</v>
      </c>
      <c r="T17" t="s">
        <v>105</v>
      </c>
      <c r="U17" t="s">
        <v>106</v>
      </c>
    </row>
    <row r="18" spans="1:21" x14ac:dyDescent="0.25">
      <c r="A18" t="s">
        <v>23</v>
      </c>
      <c r="B18" t="s">
        <v>24</v>
      </c>
      <c r="C18" t="s">
        <v>25</v>
      </c>
      <c r="D18">
        <v>7</v>
      </c>
      <c r="E18">
        <v>1</v>
      </c>
      <c r="F18" t="s">
        <v>132</v>
      </c>
      <c r="G18" t="s">
        <v>108</v>
      </c>
      <c r="H18">
        <v>8341</v>
      </c>
      <c r="I18">
        <v>1</v>
      </c>
      <c r="J18">
        <v>1</v>
      </c>
      <c r="K18">
        <v>1000000000</v>
      </c>
      <c r="L18">
        <v>2</v>
      </c>
      <c r="M18">
        <v>168</v>
      </c>
      <c r="N18">
        <v>64</v>
      </c>
      <c r="P18">
        <v>3</v>
      </c>
      <c r="R18">
        <v>1</v>
      </c>
      <c r="S18">
        <v>1</v>
      </c>
      <c r="T18" t="s">
        <v>109</v>
      </c>
      <c r="U18" t="s">
        <v>133</v>
      </c>
    </row>
    <row r="19" spans="1:21" x14ac:dyDescent="0.25">
      <c r="A19" t="s">
        <v>23</v>
      </c>
      <c r="B19" t="s">
        <v>24</v>
      </c>
      <c r="C19" t="s">
        <v>25</v>
      </c>
      <c r="D19">
        <v>11</v>
      </c>
      <c r="E19">
        <v>1</v>
      </c>
      <c r="F19" t="s">
        <v>134</v>
      </c>
      <c r="G19" t="s">
        <v>135</v>
      </c>
      <c r="H19">
        <v>9091</v>
      </c>
      <c r="I19">
        <v>0.66666666666666663</v>
      </c>
      <c r="J19">
        <v>0</v>
      </c>
      <c r="K19">
        <v>1500000000</v>
      </c>
      <c r="L19">
        <v>4</v>
      </c>
      <c r="M19">
        <v>269</v>
      </c>
      <c r="N19">
        <v>105</v>
      </c>
      <c r="P19">
        <v>3</v>
      </c>
      <c r="R19">
        <v>1</v>
      </c>
      <c r="S19">
        <v>1</v>
      </c>
      <c r="T19" t="s">
        <v>112</v>
      </c>
      <c r="U19" t="s">
        <v>136</v>
      </c>
    </row>
    <row r="20" spans="1:21" x14ac:dyDescent="0.25">
      <c r="A20" t="s">
        <v>23</v>
      </c>
      <c r="B20" t="s">
        <v>24</v>
      </c>
      <c r="C20" t="s">
        <v>25</v>
      </c>
      <c r="D20">
        <v>11</v>
      </c>
      <c r="E20">
        <v>2</v>
      </c>
      <c r="F20" t="s">
        <v>137</v>
      </c>
      <c r="G20" t="s">
        <v>138</v>
      </c>
      <c r="H20">
        <v>9245</v>
      </c>
      <c r="I20">
        <v>0.33333333333333331</v>
      </c>
      <c r="J20">
        <v>0</v>
      </c>
      <c r="K20">
        <v>180000000</v>
      </c>
      <c r="L20">
        <v>2</v>
      </c>
      <c r="M20">
        <v>115</v>
      </c>
      <c r="N20">
        <v>115</v>
      </c>
      <c r="P20">
        <v>1</v>
      </c>
      <c r="Q20" t="s">
        <v>117</v>
      </c>
      <c r="R20">
        <v>4</v>
      </c>
      <c r="S20">
        <v>2</v>
      </c>
      <c r="T20" t="s">
        <v>112</v>
      </c>
      <c r="U20" t="s">
        <v>139</v>
      </c>
    </row>
    <row r="21" spans="1:21" x14ac:dyDescent="0.25">
      <c r="A21" t="s">
        <v>23</v>
      </c>
      <c r="B21" t="s">
        <v>24</v>
      </c>
      <c r="C21" t="s">
        <v>25</v>
      </c>
      <c r="D21">
        <v>12</v>
      </c>
      <c r="E21">
        <v>1</v>
      </c>
      <c r="F21" t="s">
        <v>140</v>
      </c>
      <c r="G21" t="s">
        <v>141</v>
      </c>
      <c r="H21">
        <v>567</v>
      </c>
      <c r="I21">
        <v>1</v>
      </c>
      <c r="J21">
        <v>1</v>
      </c>
      <c r="K21">
        <v>675000000</v>
      </c>
      <c r="L21">
        <v>3</v>
      </c>
      <c r="M21">
        <v>72</v>
      </c>
      <c r="N21">
        <v>108</v>
      </c>
      <c r="P21">
        <v>1</v>
      </c>
      <c r="R21">
        <v>1</v>
      </c>
      <c r="S21">
        <v>1</v>
      </c>
      <c r="T21" t="s">
        <v>112</v>
      </c>
      <c r="U21" t="s">
        <v>142</v>
      </c>
    </row>
    <row r="22" spans="1:21" x14ac:dyDescent="0.25">
      <c r="A22" t="s">
        <v>23</v>
      </c>
      <c r="B22" t="s">
        <v>24</v>
      </c>
      <c r="C22" t="s">
        <v>25</v>
      </c>
      <c r="D22">
        <v>12</v>
      </c>
      <c r="E22">
        <v>2</v>
      </c>
      <c r="F22" t="s">
        <v>143</v>
      </c>
      <c r="G22" t="s">
        <v>144</v>
      </c>
      <c r="H22">
        <v>8506</v>
      </c>
      <c r="I22">
        <v>1</v>
      </c>
      <c r="J22">
        <v>1</v>
      </c>
      <c r="K22">
        <v>580000000</v>
      </c>
      <c r="L22">
        <v>3</v>
      </c>
      <c r="M22">
        <v>84</v>
      </c>
      <c r="N22">
        <v>108</v>
      </c>
      <c r="P22">
        <v>1</v>
      </c>
      <c r="R22">
        <v>1</v>
      </c>
      <c r="S22">
        <v>1</v>
      </c>
      <c r="T22" t="s">
        <v>105</v>
      </c>
      <c r="U22" t="s">
        <v>142</v>
      </c>
    </row>
    <row r="23" spans="1:21" x14ac:dyDescent="0.25">
      <c r="A23" t="s">
        <v>23</v>
      </c>
      <c r="B23" t="s">
        <v>24</v>
      </c>
      <c r="C23" t="s">
        <v>25</v>
      </c>
      <c r="D23">
        <v>12</v>
      </c>
      <c r="E23">
        <v>3</v>
      </c>
      <c r="F23" t="s">
        <v>145</v>
      </c>
      <c r="G23" t="s">
        <v>146</v>
      </c>
      <c r="H23">
        <v>1510</v>
      </c>
      <c r="I23">
        <v>1</v>
      </c>
      <c r="J23">
        <v>1</v>
      </c>
      <c r="K23">
        <v>220000000</v>
      </c>
      <c r="L23">
        <v>2</v>
      </c>
      <c r="M23">
        <v>117</v>
      </c>
      <c r="N23">
        <v>117</v>
      </c>
      <c r="P23">
        <v>1</v>
      </c>
      <c r="R23">
        <v>1</v>
      </c>
      <c r="S23">
        <v>1</v>
      </c>
      <c r="T23" t="s">
        <v>112</v>
      </c>
      <c r="U23" t="s">
        <v>142</v>
      </c>
    </row>
    <row r="24" spans="1:21" x14ac:dyDescent="0.25">
      <c r="A24" t="s">
        <v>23</v>
      </c>
      <c r="B24" t="s">
        <v>24</v>
      </c>
      <c r="C24" t="s">
        <v>25</v>
      </c>
      <c r="D24">
        <v>13</v>
      </c>
      <c r="E24">
        <v>1</v>
      </c>
      <c r="F24" t="s">
        <v>147</v>
      </c>
      <c r="G24" t="s">
        <v>148</v>
      </c>
      <c r="H24">
        <v>8560</v>
      </c>
      <c r="I24">
        <v>0.66666666666666663</v>
      </c>
      <c r="J24">
        <v>0</v>
      </c>
      <c r="K24">
        <v>850000000</v>
      </c>
      <c r="L24">
        <v>2</v>
      </c>
      <c r="M24">
        <v>210</v>
      </c>
      <c r="N24">
        <v>70</v>
      </c>
      <c r="P24">
        <v>3</v>
      </c>
      <c r="R24">
        <v>2</v>
      </c>
      <c r="S24">
        <v>1</v>
      </c>
      <c r="T24" t="s">
        <v>112</v>
      </c>
      <c r="U24" t="s">
        <v>136</v>
      </c>
    </row>
    <row r="25" spans="1:21" x14ac:dyDescent="0.25">
      <c r="A25" t="s">
        <v>23</v>
      </c>
      <c r="B25" t="s">
        <v>24</v>
      </c>
      <c r="C25" t="s">
        <v>25</v>
      </c>
      <c r="D25">
        <v>13</v>
      </c>
      <c r="E25">
        <v>2</v>
      </c>
      <c r="F25" t="s">
        <v>149</v>
      </c>
      <c r="G25" t="s">
        <v>150</v>
      </c>
      <c r="H25">
        <v>8406</v>
      </c>
      <c r="I25">
        <v>0.66666666666666663</v>
      </c>
      <c r="J25">
        <v>0</v>
      </c>
      <c r="K25">
        <v>2800000000</v>
      </c>
      <c r="M25">
        <v>384</v>
      </c>
      <c r="N25">
        <v>128</v>
      </c>
      <c r="P25">
        <v>3</v>
      </c>
      <c r="Q25" t="s">
        <v>151</v>
      </c>
      <c r="R25">
        <v>2</v>
      </c>
      <c r="S25">
        <v>1</v>
      </c>
      <c r="T25" t="s">
        <v>109</v>
      </c>
      <c r="U25" t="s">
        <v>136</v>
      </c>
    </row>
    <row r="26" spans="1:21" x14ac:dyDescent="0.25">
      <c r="A26" t="s">
        <v>23</v>
      </c>
      <c r="B26" t="s">
        <v>24</v>
      </c>
      <c r="C26" t="s">
        <v>25</v>
      </c>
      <c r="D26">
        <v>13</v>
      </c>
      <c r="E26">
        <v>3</v>
      </c>
      <c r="F26" t="s">
        <v>152</v>
      </c>
      <c r="G26" t="s">
        <v>153</v>
      </c>
      <c r="H26">
        <v>938</v>
      </c>
      <c r="I26">
        <v>0.66666666666666663</v>
      </c>
      <c r="J26">
        <v>0</v>
      </c>
      <c r="K26">
        <v>475000000</v>
      </c>
      <c r="M26">
        <v>80</v>
      </c>
      <c r="N26">
        <v>48</v>
      </c>
      <c r="P26">
        <v>2</v>
      </c>
      <c r="R26">
        <v>2</v>
      </c>
      <c r="S26">
        <v>1</v>
      </c>
      <c r="T26" t="s">
        <v>112</v>
      </c>
      <c r="U26" t="s">
        <v>136</v>
      </c>
    </row>
    <row r="27" spans="1:21" x14ac:dyDescent="0.25">
      <c r="A27" t="s">
        <v>23</v>
      </c>
      <c r="B27" t="s">
        <v>24</v>
      </c>
      <c r="C27" t="s">
        <v>25</v>
      </c>
      <c r="D27">
        <v>13</v>
      </c>
      <c r="E27">
        <v>4</v>
      </c>
      <c r="F27" t="s">
        <v>154</v>
      </c>
      <c r="G27" t="s">
        <v>155</v>
      </c>
      <c r="H27">
        <v>7441</v>
      </c>
      <c r="I27">
        <v>0.66666666666666663</v>
      </c>
      <c r="J27">
        <v>0</v>
      </c>
      <c r="K27">
        <v>530000000</v>
      </c>
      <c r="L27">
        <v>3</v>
      </c>
      <c r="M27">
        <v>192</v>
      </c>
      <c r="N27">
        <v>96</v>
      </c>
      <c r="P27">
        <v>2</v>
      </c>
      <c r="R27">
        <v>2</v>
      </c>
      <c r="S27">
        <v>1</v>
      </c>
      <c r="U27" t="s">
        <v>136</v>
      </c>
    </row>
    <row r="28" spans="1:21" x14ac:dyDescent="0.25">
      <c r="A28" t="s">
        <v>23</v>
      </c>
      <c r="B28" t="s">
        <v>24</v>
      </c>
      <c r="C28" t="s">
        <v>25</v>
      </c>
      <c r="D28">
        <v>14</v>
      </c>
      <c r="E28">
        <v>1</v>
      </c>
      <c r="F28" t="s">
        <v>156</v>
      </c>
      <c r="G28" t="s">
        <v>157</v>
      </c>
      <c r="H28">
        <v>6912</v>
      </c>
      <c r="I28">
        <v>1</v>
      </c>
      <c r="J28">
        <v>1</v>
      </c>
      <c r="K28">
        <v>7000000000</v>
      </c>
      <c r="N28">
        <v>602</v>
      </c>
      <c r="R28">
        <v>3</v>
      </c>
      <c r="S28">
        <v>1</v>
      </c>
      <c r="U28" t="s">
        <v>106</v>
      </c>
    </row>
    <row r="29" spans="1:21" x14ac:dyDescent="0.25">
      <c r="A29" t="s">
        <v>23</v>
      </c>
      <c r="B29" t="s">
        <v>24</v>
      </c>
      <c r="C29" t="s">
        <v>25</v>
      </c>
      <c r="D29">
        <v>14</v>
      </c>
      <c r="E29">
        <v>2</v>
      </c>
      <c r="F29" t="s">
        <v>158</v>
      </c>
      <c r="G29" t="s">
        <v>159</v>
      </c>
      <c r="H29">
        <v>257</v>
      </c>
      <c r="I29">
        <v>1</v>
      </c>
      <c r="J29">
        <v>1</v>
      </c>
      <c r="K29">
        <v>4000000000</v>
      </c>
      <c r="N29">
        <v>3490</v>
      </c>
      <c r="R29">
        <v>3</v>
      </c>
      <c r="S29">
        <v>1</v>
      </c>
      <c r="T29" t="s">
        <v>112</v>
      </c>
      <c r="U29" t="s">
        <v>106</v>
      </c>
    </row>
    <row r="30" spans="1:21" x14ac:dyDescent="0.25">
      <c r="A30" t="s">
        <v>23</v>
      </c>
      <c r="B30" t="s">
        <v>24</v>
      </c>
      <c r="C30" t="s">
        <v>25</v>
      </c>
      <c r="D30">
        <v>14</v>
      </c>
      <c r="E30">
        <v>3</v>
      </c>
      <c r="F30" t="s">
        <v>160</v>
      </c>
      <c r="G30" t="s">
        <v>161</v>
      </c>
      <c r="H30">
        <v>9916</v>
      </c>
      <c r="I30">
        <v>1</v>
      </c>
      <c r="J30">
        <v>1</v>
      </c>
      <c r="K30">
        <v>1700000000</v>
      </c>
      <c r="M30">
        <v>210</v>
      </c>
      <c r="N30">
        <v>756</v>
      </c>
      <c r="P30">
        <v>1</v>
      </c>
      <c r="R30">
        <v>3</v>
      </c>
      <c r="S30">
        <v>1</v>
      </c>
      <c r="T30" t="s">
        <v>101</v>
      </c>
      <c r="U30" t="s">
        <v>106</v>
      </c>
    </row>
    <row r="31" spans="1:21" x14ac:dyDescent="0.25">
      <c r="A31" t="s">
        <v>23</v>
      </c>
      <c r="B31" t="s">
        <v>24</v>
      </c>
      <c r="C31" t="s">
        <v>25</v>
      </c>
      <c r="D31">
        <v>16</v>
      </c>
      <c r="E31">
        <v>1</v>
      </c>
      <c r="F31" t="s">
        <v>162</v>
      </c>
      <c r="G31" t="s">
        <v>119</v>
      </c>
      <c r="H31">
        <v>7980</v>
      </c>
      <c r="I31">
        <v>1</v>
      </c>
      <c r="J31">
        <v>1</v>
      </c>
      <c r="K31">
        <v>900000000</v>
      </c>
      <c r="L31">
        <v>3</v>
      </c>
      <c r="M31">
        <v>90</v>
      </c>
      <c r="N31">
        <v>90</v>
      </c>
      <c r="P31">
        <v>2</v>
      </c>
      <c r="R31">
        <v>1</v>
      </c>
      <c r="S31">
        <v>1</v>
      </c>
      <c r="T31" t="s">
        <v>105</v>
      </c>
      <c r="U31" t="s">
        <v>163</v>
      </c>
    </row>
    <row r="32" spans="1:21" x14ac:dyDescent="0.25">
      <c r="A32" t="s">
        <v>23</v>
      </c>
      <c r="B32" t="s">
        <v>24</v>
      </c>
      <c r="C32" t="s">
        <v>25</v>
      </c>
      <c r="D32">
        <v>17</v>
      </c>
      <c r="E32">
        <v>1</v>
      </c>
      <c r="F32" t="s">
        <v>164</v>
      </c>
      <c r="G32" t="s">
        <v>121</v>
      </c>
      <c r="H32">
        <v>9821</v>
      </c>
      <c r="I32">
        <v>0.83333333333333337</v>
      </c>
      <c r="J32">
        <v>0</v>
      </c>
      <c r="K32">
        <v>1300000000</v>
      </c>
      <c r="L32">
        <v>3</v>
      </c>
      <c r="M32">
        <v>140</v>
      </c>
      <c r="N32">
        <v>162</v>
      </c>
      <c r="P32">
        <v>2</v>
      </c>
      <c r="R32">
        <v>1</v>
      </c>
      <c r="S32">
        <v>1</v>
      </c>
      <c r="U32" t="s">
        <v>165</v>
      </c>
    </row>
    <row r="33" spans="1:21" x14ac:dyDescent="0.25">
      <c r="A33" t="s">
        <v>23</v>
      </c>
      <c r="B33" t="s">
        <v>24</v>
      </c>
      <c r="C33" t="s">
        <v>25</v>
      </c>
      <c r="D33">
        <v>17</v>
      </c>
      <c r="E33">
        <v>2</v>
      </c>
      <c r="F33" t="s">
        <v>166</v>
      </c>
      <c r="G33" t="s">
        <v>119</v>
      </c>
      <c r="H33">
        <v>7980</v>
      </c>
      <c r="I33">
        <v>1</v>
      </c>
      <c r="J33">
        <v>1</v>
      </c>
      <c r="K33">
        <v>900000000</v>
      </c>
      <c r="L33">
        <v>3</v>
      </c>
      <c r="M33">
        <v>90</v>
      </c>
      <c r="N33">
        <v>90</v>
      </c>
      <c r="P33">
        <v>2</v>
      </c>
      <c r="R33">
        <v>1</v>
      </c>
      <c r="S33">
        <v>1</v>
      </c>
      <c r="T33" t="s">
        <v>105</v>
      </c>
      <c r="U33" t="s">
        <v>163</v>
      </c>
    </row>
    <row r="34" spans="1:21" x14ac:dyDescent="0.25">
      <c r="A34" t="s">
        <v>23</v>
      </c>
      <c r="B34" t="s">
        <v>24</v>
      </c>
      <c r="C34" t="s">
        <v>25</v>
      </c>
      <c r="D34">
        <v>17</v>
      </c>
      <c r="E34">
        <v>3</v>
      </c>
      <c r="F34" t="s">
        <v>167</v>
      </c>
      <c r="G34" t="s">
        <v>168</v>
      </c>
      <c r="H34">
        <v>8307</v>
      </c>
      <c r="I34">
        <v>0.83333333333333337</v>
      </c>
      <c r="J34">
        <v>0</v>
      </c>
      <c r="K34">
        <v>1650000000</v>
      </c>
      <c r="L34">
        <v>3</v>
      </c>
      <c r="M34">
        <v>160</v>
      </c>
      <c r="N34">
        <v>120</v>
      </c>
      <c r="P34">
        <v>2</v>
      </c>
      <c r="R34">
        <v>1</v>
      </c>
      <c r="S34">
        <v>1</v>
      </c>
      <c r="T34" t="s">
        <v>101</v>
      </c>
      <c r="U34" t="s">
        <v>165</v>
      </c>
    </row>
    <row r="35" spans="1:21" x14ac:dyDescent="0.25">
      <c r="A35" t="s">
        <v>23</v>
      </c>
      <c r="B35" t="s">
        <v>24</v>
      </c>
      <c r="C35" t="s">
        <v>25</v>
      </c>
      <c r="D35">
        <v>17</v>
      </c>
      <c r="E35">
        <v>4</v>
      </c>
      <c r="F35" t="s">
        <v>169</v>
      </c>
      <c r="G35" t="s">
        <v>170</v>
      </c>
      <c r="H35">
        <v>9658</v>
      </c>
      <c r="I35">
        <v>0.66666666666666663</v>
      </c>
      <c r="J35">
        <v>0</v>
      </c>
      <c r="K35">
        <v>4800000000</v>
      </c>
      <c r="L35">
        <v>3</v>
      </c>
      <c r="M35">
        <v>640</v>
      </c>
      <c r="N35">
        <v>248</v>
      </c>
      <c r="P35">
        <v>4</v>
      </c>
      <c r="R35">
        <v>2</v>
      </c>
      <c r="S35">
        <v>1</v>
      </c>
      <c r="T35" t="s">
        <v>112</v>
      </c>
      <c r="U35" t="s">
        <v>171</v>
      </c>
    </row>
    <row r="36" spans="1:21" x14ac:dyDescent="0.25">
      <c r="A36" t="s">
        <v>23</v>
      </c>
      <c r="B36" t="s">
        <v>24</v>
      </c>
      <c r="C36" t="s">
        <v>25</v>
      </c>
      <c r="D36">
        <v>17</v>
      </c>
      <c r="E36">
        <v>5</v>
      </c>
      <c r="F36" t="s">
        <v>172</v>
      </c>
      <c r="G36" t="s">
        <v>123</v>
      </c>
      <c r="H36">
        <v>9724</v>
      </c>
      <c r="I36">
        <v>0.83333333333333337</v>
      </c>
      <c r="J36">
        <v>0</v>
      </c>
      <c r="K36">
        <v>1300000000</v>
      </c>
      <c r="L36">
        <v>3</v>
      </c>
      <c r="M36">
        <v>144</v>
      </c>
      <c r="N36">
        <v>84</v>
      </c>
      <c r="P36">
        <v>2</v>
      </c>
      <c r="R36">
        <v>1</v>
      </c>
      <c r="S36">
        <v>1</v>
      </c>
      <c r="U36" t="s">
        <v>165</v>
      </c>
    </row>
    <row r="37" spans="1:21" x14ac:dyDescent="0.25">
      <c r="A37" t="s">
        <v>23</v>
      </c>
      <c r="B37" t="s">
        <v>24</v>
      </c>
      <c r="C37" t="s">
        <v>25</v>
      </c>
      <c r="D37">
        <v>18</v>
      </c>
      <c r="E37">
        <v>1</v>
      </c>
      <c r="F37" t="s">
        <v>164</v>
      </c>
      <c r="G37" t="s">
        <v>121</v>
      </c>
      <c r="H37">
        <v>9821</v>
      </c>
      <c r="I37">
        <v>0.83333333333333337</v>
      </c>
      <c r="J37">
        <v>0</v>
      </c>
      <c r="K37">
        <v>1300000000</v>
      </c>
      <c r="L37">
        <v>3</v>
      </c>
      <c r="M37">
        <v>140</v>
      </c>
      <c r="N37">
        <v>162</v>
      </c>
      <c r="P37">
        <v>2</v>
      </c>
      <c r="R37">
        <v>1</v>
      </c>
      <c r="S37">
        <v>1</v>
      </c>
      <c r="U37" t="s">
        <v>165</v>
      </c>
    </row>
    <row r="38" spans="1:21" x14ac:dyDescent="0.25">
      <c r="A38" t="s">
        <v>23</v>
      </c>
      <c r="B38" t="s">
        <v>24</v>
      </c>
      <c r="C38" t="s">
        <v>25</v>
      </c>
      <c r="D38">
        <v>18</v>
      </c>
      <c r="E38">
        <v>2</v>
      </c>
      <c r="F38" t="s">
        <v>166</v>
      </c>
      <c r="G38" t="s">
        <v>119</v>
      </c>
      <c r="H38">
        <v>7980</v>
      </c>
      <c r="I38">
        <v>1</v>
      </c>
      <c r="J38">
        <v>1</v>
      </c>
      <c r="K38">
        <v>900000000</v>
      </c>
      <c r="L38">
        <v>3</v>
      </c>
      <c r="M38">
        <v>90</v>
      </c>
      <c r="N38">
        <v>90</v>
      </c>
      <c r="P38">
        <v>2</v>
      </c>
      <c r="R38">
        <v>1</v>
      </c>
      <c r="S38">
        <v>1</v>
      </c>
      <c r="T38" t="s">
        <v>105</v>
      </c>
      <c r="U38" t="s">
        <v>163</v>
      </c>
    </row>
    <row r="39" spans="1:21" x14ac:dyDescent="0.25">
      <c r="A39" t="s">
        <v>23</v>
      </c>
      <c r="B39" t="s">
        <v>24</v>
      </c>
      <c r="C39" t="s">
        <v>25</v>
      </c>
      <c r="D39">
        <v>18</v>
      </c>
      <c r="E39">
        <v>3</v>
      </c>
      <c r="F39" t="s">
        <v>167</v>
      </c>
      <c r="G39" t="s">
        <v>168</v>
      </c>
      <c r="H39">
        <v>8307</v>
      </c>
      <c r="I39">
        <v>0.83333333333333337</v>
      </c>
      <c r="J39">
        <v>0</v>
      </c>
      <c r="K39">
        <v>1650000000</v>
      </c>
      <c r="L39">
        <v>3</v>
      </c>
      <c r="M39">
        <v>160</v>
      </c>
      <c r="N39">
        <v>120</v>
      </c>
      <c r="P39">
        <v>2</v>
      </c>
      <c r="R39">
        <v>1</v>
      </c>
      <c r="S39">
        <v>1</v>
      </c>
      <c r="T39" t="s">
        <v>101</v>
      </c>
      <c r="U39" t="s">
        <v>165</v>
      </c>
    </row>
    <row r="40" spans="1:21" x14ac:dyDescent="0.25">
      <c r="A40" t="s">
        <v>23</v>
      </c>
      <c r="B40" t="s">
        <v>24</v>
      </c>
      <c r="C40" t="s">
        <v>25</v>
      </c>
      <c r="D40">
        <v>18</v>
      </c>
      <c r="E40">
        <v>4</v>
      </c>
      <c r="F40" t="s">
        <v>169</v>
      </c>
      <c r="G40" t="s">
        <v>170</v>
      </c>
      <c r="H40">
        <v>9658</v>
      </c>
      <c r="I40">
        <v>0.66666666666666663</v>
      </c>
      <c r="J40">
        <v>0</v>
      </c>
      <c r="K40">
        <v>4800000000</v>
      </c>
      <c r="L40">
        <v>3</v>
      </c>
      <c r="M40">
        <v>640</v>
      </c>
      <c r="N40">
        <v>248</v>
      </c>
      <c r="P40">
        <v>4</v>
      </c>
      <c r="R40">
        <v>2</v>
      </c>
      <c r="S40">
        <v>1</v>
      </c>
      <c r="T40" t="s">
        <v>112</v>
      </c>
      <c r="U40" t="s">
        <v>171</v>
      </c>
    </row>
    <row r="41" spans="1:21" x14ac:dyDescent="0.25">
      <c r="A41" t="s">
        <v>23</v>
      </c>
      <c r="B41" t="s">
        <v>24</v>
      </c>
      <c r="C41" t="s">
        <v>25</v>
      </c>
      <c r="D41">
        <v>18</v>
      </c>
      <c r="E41">
        <v>5</v>
      </c>
      <c r="F41" t="s">
        <v>172</v>
      </c>
      <c r="G41" t="s">
        <v>123</v>
      </c>
      <c r="H41">
        <v>9724</v>
      </c>
      <c r="I41">
        <v>0.83333333333333337</v>
      </c>
      <c r="J41">
        <v>0</v>
      </c>
      <c r="K41">
        <v>1300000000</v>
      </c>
      <c r="L41">
        <v>3</v>
      </c>
      <c r="M41">
        <v>144</v>
      </c>
      <c r="N41">
        <v>84</v>
      </c>
      <c r="P41">
        <v>2</v>
      </c>
      <c r="R41">
        <v>1</v>
      </c>
      <c r="S41">
        <v>1</v>
      </c>
      <c r="U41" t="s">
        <v>165</v>
      </c>
    </row>
    <row r="42" spans="1:21" x14ac:dyDescent="0.25">
      <c r="A42" t="s">
        <v>23</v>
      </c>
      <c r="B42" t="s">
        <v>24</v>
      </c>
      <c r="C42" t="s">
        <v>25</v>
      </c>
      <c r="D42">
        <v>19</v>
      </c>
      <c r="E42">
        <v>1</v>
      </c>
      <c r="F42" t="s">
        <v>173</v>
      </c>
      <c r="G42" t="s">
        <v>170</v>
      </c>
      <c r="H42">
        <v>9658</v>
      </c>
      <c r="I42">
        <v>0.5714285714285714</v>
      </c>
      <c r="J42">
        <v>0</v>
      </c>
      <c r="K42">
        <v>4800000000</v>
      </c>
      <c r="L42">
        <v>3</v>
      </c>
      <c r="M42">
        <v>640</v>
      </c>
      <c r="N42">
        <v>248</v>
      </c>
      <c r="P42">
        <v>4</v>
      </c>
      <c r="R42">
        <v>2</v>
      </c>
      <c r="S42">
        <v>1</v>
      </c>
      <c r="T42" t="s">
        <v>112</v>
      </c>
      <c r="U42" t="s">
        <v>174</v>
      </c>
    </row>
    <row r="43" spans="1:21" x14ac:dyDescent="0.25">
      <c r="A43" t="s">
        <v>23</v>
      </c>
      <c r="B43" t="s">
        <v>24</v>
      </c>
      <c r="C43" t="s">
        <v>25</v>
      </c>
      <c r="D43">
        <v>20</v>
      </c>
      <c r="E43">
        <v>1</v>
      </c>
      <c r="F43" t="s">
        <v>164</v>
      </c>
      <c r="G43" t="s">
        <v>121</v>
      </c>
      <c r="H43">
        <v>9821</v>
      </c>
      <c r="I43">
        <v>0.7142857142857143</v>
      </c>
      <c r="J43">
        <v>0</v>
      </c>
      <c r="K43">
        <v>1300000000</v>
      </c>
      <c r="L43">
        <v>3</v>
      </c>
      <c r="M43">
        <v>140</v>
      </c>
      <c r="N43">
        <v>162</v>
      </c>
      <c r="P43">
        <v>2</v>
      </c>
      <c r="R43">
        <v>1</v>
      </c>
      <c r="S43">
        <v>1</v>
      </c>
      <c r="U43" t="s">
        <v>175</v>
      </c>
    </row>
    <row r="44" spans="1:21" x14ac:dyDescent="0.25">
      <c r="A44" t="s">
        <v>23</v>
      </c>
      <c r="B44" t="s">
        <v>24</v>
      </c>
      <c r="C44" t="s">
        <v>25</v>
      </c>
      <c r="D44">
        <v>20</v>
      </c>
      <c r="E44">
        <v>2</v>
      </c>
      <c r="F44" t="s">
        <v>166</v>
      </c>
      <c r="G44" t="s">
        <v>119</v>
      </c>
      <c r="H44">
        <v>7980</v>
      </c>
      <c r="I44">
        <v>0.8571428571428571</v>
      </c>
      <c r="J44">
        <v>0</v>
      </c>
      <c r="K44">
        <v>900000000</v>
      </c>
      <c r="L44">
        <v>3</v>
      </c>
      <c r="M44">
        <v>90</v>
      </c>
      <c r="N44">
        <v>90</v>
      </c>
      <c r="P44">
        <v>2</v>
      </c>
      <c r="R44">
        <v>1</v>
      </c>
      <c r="S44">
        <v>1</v>
      </c>
      <c r="T44" t="s">
        <v>105</v>
      </c>
      <c r="U44" t="s">
        <v>176</v>
      </c>
    </row>
    <row r="45" spans="1:21" x14ac:dyDescent="0.25">
      <c r="A45" t="s">
        <v>23</v>
      </c>
      <c r="B45" t="s">
        <v>24</v>
      </c>
      <c r="C45" t="s">
        <v>25</v>
      </c>
      <c r="D45">
        <v>20</v>
      </c>
      <c r="E45">
        <v>3</v>
      </c>
      <c r="F45" t="s">
        <v>169</v>
      </c>
      <c r="G45" t="s">
        <v>170</v>
      </c>
      <c r="H45">
        <v>9658</v>
      </c>
      <c r="I45">
        <v>0.5714285714285714</v>
      </c>
      <c r="J45">
        <v>0</v>
      </c>
      <c r="K45">
        <v>4800000000</v>
      </c>
      <c r="L45">
        <v>3</v>
      </c>
      <c r="M45">
        <v>640</v>
      </c>
      <c r="N45">
        <v>248</v>
      </c>
      <c r="P45">
        <v>4</v>
      </c>
      <c r="R45">
        <v>2</v>
      </c>
      <c r="S45">
        <v>1</v>
      </c>
      <c r="T45" t="s">
        <v>112</v>
      </c>
      <c r="U45" t="s">
        <v>174</v>
      </c>
    </row>
    <row r="46" spans="1:21" x14ac:dyDescent="0.25">
      <c r="A46" t="s">
        <v>23</v>
      </c>
      <c r="B46" t="s">
        <v>24</v>
      </c>
      <c r="C46" t="s">
        <v>25</v>
      </c>
      <c r="D46">
        <v>20</v>
      </c>
      <c r="E46">
        <v>4</v>
      </c>
      <c r="F46" t="s">
        <v>167</v>
      </c>
      <c r="G46" t="s">
        <v>168</v>
      </c>
      <c r="H46">
        <v>8307</v>
      </c>
      <c r="I46">
        <v>0.7142857142857143</v>
      </c>
      <c r="J46">
        <v>0</v>
      </c>
      <c r="K46">
        <v>1650000000</v>
      </c>
      <c r="L46">
        <v>3</v>
      </c>
      <c r="M46">
        <v>160</v>
      </c>
      <c r="N46">
        <v>120</v>
      </c>
      <c r="P46">
        <v>2</v>
      </c>
      <c r="R46">
        <v>1</v>
      </c>
      <c r="S46">
        <v>1</v>
      </c>
      <c r="T46" t="s">
        <v>101</v>
      </c>
      <c r="U46" t="s">
        <v>175</v>
      </c>
    </row>
    <row r="47" spans="1:21" x14ac:dyDescent="0.25">
      <c r="A47" t="s">
        <v>23</v>
      </c>
      <c r="B47" t="s">
        <v>24</v>
      </c>
      <c r="C47" t="s">
        <v>25</v>
      </c>
      <c r="D47">
        <v>20</v>
      </c>
      <c r="E47">
        <v>5</v>
      </c>
      <c r="F47" t="s">
        <v>177</v>
      </c>
      <c r="G47" t="s">
        <v>127</v>
      </c>
      <c r="H47">
        <v>9826</v>
      </c>
      <c r="I47">
        <v>0.7142857142857143</v>
      </c>
      <c r="J47">
        <v>0</v>
      </c>
      <c r="K47">
        <v>2500000000</v>
      </c>
      <c r="L47">
        <v>6</v>
      </c>
      <c r="M47">
        <v>300</v>
      </c>
      <c r="N47">
        <v>368</v>
      </c>
      <c r="P47">
        <v>2</v>
      </c>
      <c r="R47">
        <v>1</v>
      </c>
      <c r="S47">
        <v>1</v>
      </c>
      <c r="T47" t="s">
        <v>112</v>
      </c>
      <c r="U47" t="s">
        <v>175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
  <sheetViews>
    <sheetView topLeftCell="E1" workbookViewId="0">
      <selection activeCell="H3" sqref="H3"/>
    </sheetView>
  </sheetViews>
  <sheetFormatPr defaultRowHeight="15" x14ac:dyDescent="0.25"/>
  <cols>
    <col min="1" max="1" width="16.28515625" bestFit="1" customWidth="1"/>
    <col min="2" max="2" width="19.28515625" bestFit="1" customWidth="1"/>
    <col min="3" max="3" width="24" bestFit="1" customWidth="1"/>
    <col min="4" max="4" width="11.5703125" bestFit="1" customWidth="1"/>
    <col min="5" max="5" width="15" bestFit="1" customWidth="1"/>
    <col min="6" max="6" width="16.28515625" bestFit="1" customWidth="1"/>
    <col min="7" max="7" width="25.28515625" bestFit="1" customWidth="1"/>
    <col min="8" max="8" width="14.85546875" bestFit="1" customWidth="1"/>
    <col min="9" max="9" width="19.85546875" bestFit="1" customWidth="1"/>
    <col min="10" max="10" width="16.42578125" bestFit="1" customWidth="1"/>
    <col min="11" max="11" width="13.5703125" bestFit="1" customWidth="1"/>
    <col min="12" max="12" width="14.7109375" bestFit="1" customWidth="1"/>
    <col min="13" max="13" width="19.42578125" bestFit="1" customWidth="1"/>
    <col min="14" max="14" width="3.28515625" bestFit="1" customWidth="1"/>
    <col min="15" max="15" width="3.140625" bestFit="1" customWidth="1"/>
    <col min="16" max="17" width="3.42578125" bestFit="1" customWidth="1"/>
    <col min="18" max="18" width="5" bestFit="1" customWidth="1"/>
    <col min="19" max="19" width="12.7109375" bestFit="1" customWidth="1"/>
    <col min="20" max="20" width="9.42578125" bestFit="1" customWidth="1"/>
    <col min="21" max="22" width="12.42578125" bestFit="1" customWidth="1"/>
  </cols>
  <sheetData>
    <row r="1" spans="1:22" x14ac:dyDescent="0.25">
      <c r="A1" s="1" t="s">
        <v>0</v>
      </c>
      <c r="B1" s="1" t="s">
        <v>1</v>
      </c>
      <c r="C1" s="1" t="s">
        <v>2</v>
      </c>
      <c r="D1" s="1" t="s">
        <v>178</v>
      </c>
      <c r="E1" s="1" t="s">
        <v>179</v>
      </c>
      <c r="F1" s="1" t="s">
        <v>180</v>
      </c>
      <c r="G1" s="1" t="s">
        <v>181</v>
      </c>
      <c r="H1" s="1" t="s">
        <v>182</v>
      </c>
      <c r="I1" s="1" t="s">
        <v>183</v>
      </c>
      <c r="J1" s="1" t="s">
        <v>184</v>
      </c>
      <c r="K1" s="1" t="s">
        <v>185</v>
      </c>
      <c r="L1" s="1" t="s">
        <v>186</v>
      </c>
      <c r="M1" s="1" t="s">
        <v>187</v>
      </c>
      <c r="N1" s="1" t="s">
        <v>26</v>
      </c>
      <c r="O1" s="1" t="s">
        <v>53</v>
      </c>
      <c r="P1" s="1" t="s">
        <v>43</v>
      </c>
      <c r="Q1" s="1" t="s">
        <v>50</v>
      </c>
      <c r="R1" s="1" t="s">
        <v>188</v>
      </c>
      <c r="S1" s="1" t="s">
        <v>189</v>
      </c>
      <c r="T1" s="1" t="s">
        <v>190</v>
      </c>
      <c r="U1" s="1" t="s">
        <v>191</v>
      </c>
      <c r="V1" s="1" t="s">
        <v>192</v>
      </c>
    </row>
    <row r="2" spans="1:22" x14ac:dyDescent="0.25">
      <c r="A2" t="s">
        <v>23</v>
      </c>
      <c r="B2" t="s">
        <v>24</v>
      </c>
      <c r="C2" t="s">
        <v>25</v>
      </c>
      <c r="D2">
        <v>0.6</v>
      </c>
      <c r="E2">
        <v>21</v>
      </c>
      <c r="F2">
        <v>16</v>
      </c>
      <c r="G2">
        <v>5</v>
      </c>
      <c r="H2">
        <v>0.76757369614512483</v>
      </c>
      <c r="I2">
        <v>1</v>
      </c>
      <c r="J2">
        <v>0.88244047619047616</v>
      </c>
      <c r="K2">
        <v>0.92784090909090911</v>
      </c>
      <c r="L2">
        <v>0.84615384615384615</v>
      </c>
      <c r="M2">
        <v>0.4</v>
      </c>
      <c r="N2">
        <v>9</v>
      </c>
      <c r="O2">
        <v>3</v>
      </c>
      <c r="P2">
        <v>7</v>
      </c>
      <c r="Q2">
        <v>2</v>
      </c>
      <c r="R2">
        <v>0</v>
      </c>
      <c r="S2">
        <v>0.75</v>
      </c>
      <c r="T2">
        <v>0.5625</v>
      </c>
      <c r="U2">
        <v>0.6428571428571429</v>
      </c>
      <c r="V2">
        <v>0.52380952380952384</v>
      </c>
    </row>
    <row r="3" spans="1:22" x14ac:dyDescent="0.25">
      <c r="H3">
        <f>AVERAGE(per_item!I2:I47)</f>
        <v>0.87267080745341619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per_question</vt:lpstr>
      <vt:lpstr>per_item</vt:lpstr>
      <vt:lpstr>global_runs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2025-11-12T09:21:31Z</dcterms:created>
  <dcterms:modified xsi:type="dcterms:W3CDTF">2025-11-17T08:25:07Z</dcterms:modified>
</cp:coreProperties>
</file>