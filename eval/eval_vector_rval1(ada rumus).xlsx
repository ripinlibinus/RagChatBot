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2832D52A-92DA-4DBE-9B3A-74A6978E9D21}" xr6:coauthVersionLast="47" xr6:coauthVersionMax="47" xr10:uidLastSave="{00000000-0000-0000-0000-000000000000}"/>
  <bookViews>
    <workbookView xWindow="14295" yWindow="0" windowWidth="14610" windowHeight="15585" xr2:uid="{00000000-000D-0000-FFFF-FFFF00000000}"/>
  </bookViews>
  <sheets>
    <sheet name="per_question" sheetId="1" r:id="rId1"/>
    <sheet name="per_item" sheetId="2" r:id="rId2"/>
    <sheet name="global_runs" sheetId="3" r:id="rId3"/>
  </sheets>
  <definedNames>
    <definedName name="_xlnm._FilterDatabase" localSheetId="1" hidden="1">per_item!$A$1:$U$108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 i="1" l="1"/>
  <c r="M7" i="1" l="1"/>
  <c r="M8" i="1"/>
  <c r="M9" i="1"/>
  <c r="M10" i="1"/>
  <c r="M11" i="1"/>
  <c r="M12" i="1"/>
  <c r="M13" i="1"/>
  <c r="M14" i="1"/>
  <c r="M15" i="1"/>
  <c r="M16" i="1"/>
  <c r="M17" i="1"/>
  <c r="M18" i="1"/>
  <c r="M19" i="1"/>
  <c r="M20" i="1"/>
  <c r="M21" i="1"/>
  <c r="M22" i="1"/>
  <c r="M23" i="1"/>
  <c r="M24" i="1"/>
  <c r="M25" i="1"/>
  <c r="M26" i="1"/>
  <c r="M27" i="1"/>
  <c r="M28" i="1"/>
  <c r="M29" i="1"/>
  <c r="M30" i="1"/>
  <c r="M31" i="1"/>
  <c r="M2" i="1"/>
  <c r="M3" i="1"/>
  <c r="M4" i="1"/>
  <c r="M5" i="1"/>
  <c r="M6" i="1"/>
  <c r="I3" i="1"/>
  <c r="I32" i="1" s="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2" i="1"/>
  <c r="J109" i="2"/>
  <c r="P32" i="1"/>
  <c r="J32" i="1"/>
  <c r="K32" i="1"/>
  <c r="L32" i="1"/>
  <c r="H3" i="3"/>
  <c r="P9" i="1"/>
  <c r="P10" i="1"/>
  <c r="P11" i="1"/>
  <c r="P12" i="1"/>
  <c r="P13" i="1"/>
  <c r="P14" i="1"/>
  <c r="P15" i="1"/>
  <c r="P16" i="1"/>
  <c r="P17" i="1"/>
  <c r="P18" i="1"/>
  <c r="P19" i="1"/>
  <c r="P20" i="1"/>
  <c r="P21" i="1"/>
  <c r="P22" i="1"/>
  <c r="P23" i="1"/>
  <c r="P24" i="1"/>
  <c r="P25" i="1"/>
  <c r="P26" i="1"/>
  <c r="P27" i="1"/>
  <c r="P28" i="1"/>
  <c r="P29" i="1"/>
  <c r="P30" i="1"/>
  <c r="P31" i="1"/>
  <c r="P3" i="1"/>
  <c r="P4" i="1"/>
  <c r="P5" i="1"/>
  <c r="P6" i="1"/>
  <c r="P7" i="1"/>
  <c r="P8" i="1"/>
  <c r="P2" i="1"/>
  <c r="H3" i="1"/>
  <c r="H4" i="1"/>
  <c r="S4" i="1" s="1"/>
  <c r="Q4" i="1" s="1"/>
  <c r="H5" i="1"/>
  <c r="H6" i="1"/>
  <c r="H7" i="1"/>
  <c r="H8" i="1"/>
  <c r="S8" i="1" s="1"/>
  <c r="Q8" i="1" s="1"/>
  <c r="H9" i="1"/>
  <c r="H10" i="1"/>
  <c r="S10" i="1" s="1"/>
  <c r="Q10" i="1" s="1"/>
  <c r="H11" i="1"/>
  <c r="S11" i="1" s="1"/>
  <c r="Q11" i="1" s="1"/>
  <c r="H12" i="1"/>
  <c r="H13" i="1"/>
  <c r="H14" i="1"/>
  <c r="H15" i="1"/>
  <c r="S15" i="1" s="1"/>
  <c r="Q15" i="1" s="1"/>
  <c r="H16" i="1"/>
  <c r="H17" i="1"/>
  <c r="H18" i="1"/>
  <c r="S18" i="1" s="1"/>
  <c r="Q18" i="1" s="1"/>
  <c r="H19" i="1"/>
  <c r="H20" i="1"/>
  <c r="H21" i="1"/>
  <c r="H22" i="1"/>
  <c r="H23" i="1"/>
  <c r="H24" i="1"/>
  <c r="S24" i="1" s="1"/>
  <c r="Q24" i="1" s="1"/>
  <c r="H25" i="1"/>
  <c r="H26" i="1"/>
  <c r="H27" i="1"/>
  <c r="H28" i="1"/>
  <c r="H29" i="1"/>
  <c r="H30" i="1"/>
  <c r="H31" i="1"/>
  <c r="H2" i="1"/>
  <c r="G3" i="3"/>
  <c r="F3" i="3"/>
  <c r="E3" i="3"/>
  <c r="S28" i="1" l="1"/>
  <c r="Q28" i="1" s="1"/>
  <c r="S20" i="1"/>
  <c r="Q20" i="1" s="1"/>
  <c r="S14" i="1"/>
  <c r="Q14" i="1" s="1"/>
  <c r="S25" i="1"/>
  <c r="Q25" i="1" s="1"/>
  <c r="S17" i="1"/>
  <c r="Q17" i="1" s="1"/>
  <c r="S5" i="1"/>
  <c r="Q5" i="1" s="1"/>
  <c r="M32" i="1"/>
  <c r="S2" i="1"/>
  <c r="Q2" i="1" s="1"/>
  <c r="S26" i="1"/>
  <c r="Q26" i="1" s="1"/>
  <c r="S30" i="1"/>
  <c r="Q30" i="1" s="1"/>
  <c r="S27" i="1"/>
  <c r="Q27" i="1" s="1"/>
  <c r="S3" i="1"/>
  <c r="Q3" i="1" s="1"/>
  <c r="S6" i="1"/>
  <c r="Q6" i="1" s="1"/>
  <c r="S16" i="1"/>
  <c r="Q16" i="1" s="1"/>
  <c r="S31" i="1"/>
  <c r="Q31" i="1" s="1"/>
  <c r="S9" i="1"/>
  <c r="Q9" i="1" s="1"/>
  <c r="S12" i="1"/>
  <c r="Q12" i="1" s="1"/>
  <c r="S7" i="1"/>
  <c r="Q7" i="1" s="1"/>
  <c r="S23" i="1"/>
  <c r="Q23" i="1" s="1"/>
  <c r="S22" i="1"/>
  <c r="Q22" i="1" s="1"/>
  <c r="S29" i="1"/>
  <c r="Q29" i="1" s="1"/>
  <c r="S21" i="1"/>
  <c r="Q21" i="1" s="1"/>
  <c r="S19" i="1"/>
  <c r="Q19" i="1" s="1"/>
  <c r="S13" i="1"/>
  <c r="Q13" i="1" s="1"/>
  <c r="O3" i="3" l="1"/>
  <c r="Q3" i="3"/>
  <c r="P3" i="3"/>
  <c r="N3" i="3"/>
  <c r="R3" i="3"/>
  <c r="V3" i="3" l="1"/>
  <c r="T3" i="3"/>
  <c r="S3" i="3"/>
  <c r="U3" i="3" l="1"/>
</calcChain>
</file>

<file path=xl/sharedStrings.xml><?xml version="1.0" encoding="utf-8"?>
<sst xmlns="http://schemas.openxmlformats.org/spreadsheetml/2006/main" count="980" uniqueCount="328">
  <si>
    <t>run_id</t>
  </si>
  <si>
    <t>run_ts</t>
  </si>
  <si>
    <t>xls_input</t>
  </si>
  <si>
    <t>q_index</t>
  </si>
  <si>
    <t>has_items</t>
  </si>
  <si>
    <t>no_result_claim</t>
  </si>
  <si>
    <t>api_note</t>
  </si>
  <si>
    <t>items_count</t>
  </si>
  <si>
    <t>avg_pca</t>
  </si>
  <si>
    <t>precision</t>
  </si>
  <si>
    <t>recall</t>
  </si>
  <si>
    <t>f1</t>
  </si>
  <si>
    <t>cpr_all</t>
  </si>
  <si>
    <t>constraints_total</t>
  </si>
  <si>
    <t>constraints_correct</t>
  </si>
  <si>
    <t>no_result_score</t>
  </si>
  <si>
    <t>cm_label</t>
  </si>
  <si>
    <t>cm_gt</t>
  </si>
  <si>
    <t>cm_pred</t>
  </si>
  <si>
    <t>cm_threshold</t>
  </si>
  <si>
    <t>answer_excerpt</t>
  </si>
  <si>
    <t>gold_json</t>
  </si>
  <si>
    <t>20251113-083353</t>
  </si>
  <si>
    <t>2025-11-13T08:33:53</t>
  </si>
  <si>
    <t>test/test_vector_rval1.xlsx</t>
  </si>
  <si>
    <t>TP</t>
  </si>
  <si>
    <t>Pos</t>
  </si>
  <si>
    <t>Berikut adalah beberapa pilihan rumah yang dijual di daerah Cemara: 1. **Dijual Rumah di Jl. Cemara, Kota Medan** - Harga: 695.000.000 - Spesifikasi: LT 76 m², LB 120 m², 2.5 lantai - Catatan: Perlu r</t>
  </si>
  <si>
    <t>{"keyword": "cemara", "tipe_listing": 1, "jenis_properti": 1, "page": 1}</t>
  </si>
  <si>
    <t xml:space="preserve">Berikut adalah beberapa pilihan rumah yang dijual di daerah Ringroad: 1. **Dijual full perabot daerah Ringroad** - Lokasi: Jl. Ps. II, komp. De Zurich, Kel. Tanjung Sari, Kec. Medan Selayang - Harga: </t>
  </si>
  <si>
    <t>{"keyword": "ringroad", "tipe_listing": 1, "jenis_properti": 1, "page": 1}</t>
  </si>
  <si>
    <t>Berikut adalah pilihan rumah sewa di Medan yang dapat Anda pertimbangkan: 1. **Disewakan Rumah di Royal Sumatera** - Lokasi: Jln. Jamin Ginting, Komp. komplek royal sumatera, Kel. Mangga, Kec. Medan T</t>
  </si>
  <si>
    <t>{"keyword": "medan", "tipe_listing": 2, "jenis_properti": 1, "page": 1}</t>
  </si>
  <si>
    <t>Berikut adalah beberapa pilihan rumah yang dijual di daerah Cemara dengan harga sekitar 1M: 1. **Dijual Rumah daerah Cemara** - Lokasi: Jl. Cemara, gg gg. seri, Kel. P Berayan Darat II, Kec. Medan Tim</t>
  </si>
  <si>
    <t>{"keyword": "cemara", "harga_min": 800000000, "harga_max": 1200000000, "tipe_listing": 1, "jenis_properti": 1, "page": 1}</t>
  </si>
  <si>
    <t>API has data</t>
  </si>
  <si>
    <t>FN</t>
  </si>
  <si>
    <t>Neg</t>
  </si>
  <si>
    <t>Maaf, saya tidak menemukan rumah dijual di daerah Ringroad dengan harga di bawah 800 juta dan memiliki 3 kamar. Apakah ada kata kunci lain yang ingin Anda cari atau mungkin Anda ingin mengubah kriteri</t>
  </si>
  <si>
    <t>{"keyword": "ringroad", "harga_max": 800000000, "kamar_tidur": 3, "tipe_listing": 1, "jenis_properti": 1, "page": 1}</t>
  </si>
  <si>
    <t>Maaf, tidak ada rumah sewa di Medan dengan harga di bawah 50 juta dan memiliki 3 kamar. Berikut adalah beberapa properti yang mungkin menarik untuk Anda, meskipun tidak sesuai dengan kriteria harga: 1</t>
  </si>
  <si>
    <t>{"keyword": "medan", "harga_max": 50000000, "kamar_tidur": 3, "tipe_listing": 2, "jenis_properti": 1, "page": 1, "paginate": 5}</t>
  </si>
  <si>
    <t>API empty</t>
  </si>
  <si>
    <t>TN</t>
  </si>
  <si>
    <t>Maaf, saat ini tidak ada rumah yang tersedia di dekat Podomoro Medan dengan harga di bawah 1M. Namun, berikut adalah beberapa pilihan apartemen yang mungkin menarik untuk Anda: 1. **Dijual Cepat Apart</t>
  </si>
  <si>
    <t>{"keyword": "podomoro", "harga_max": 1000000000, "tipe_listing": 1, "jenis_properti": 1, "page": 1, "paginate": 5}</t>
  </si>
  <si>
    <t>FP</t>
  </si>
  <si>
    <t>Berikut adalah beberapa pilihan properti sewa yang dekat dengan USU untuk anak Anda yang akan kuliah: 1. **Dijual Rumah Fully Furnish Setiabudi Dekat USU** - Lokasi: Jl. Abdul Hakim, Komp. Classic 3 S</t>
  </si>
  <si>
    <t>{"keyword": "usu", "tipe_listing": 2, "jenis_properti": 1, "page": 1, "paginate": 5}</t>
  </si>
  <si>
    <t>Berikut adalah pilihan rumah di inti kota Medan dengan harga di bawah 1M: 1. **Rumah Murah Di Marendal** - Lokasi: Jl. Cemp. Sari, Kel. Deli Tua, Kec. Deli Tua, Kota Medan - Harga: Rp 285.000.000 - Sp</t>
  </si>
  <si>
    <t>{"keyword": "inti kota medan", "harga_max": 1000000000, "tipe_listing": 1, "jenis_properti": 1, "page": 1, "paginate": 5}</t>
  </si>
  <si>
    <t>Saat ini, saya tidak menemukan ruko yang disewakan di daerah Krakatau. Namun, berikut adalah beberapa pilihan ruko yang dijual di daerah tersebut: 1. **Di Jual Ruko Daerah Krakatau** - Lokasi: Jl. Ger</t>
  </si>
  <si>
    <t>{"keyword": "krakatau", "tipe_listing": 2, "jenis_properti": 2, "page": 1, "paginate": 5}</t>
  </si>
  <si>
    <t>Berikut adalah beberapa pilihan tanah yang dijual di Marelan: 1. *Dijual tanah daerah Marelan* - Lokasi: Marelan, Kel. Tanah Enam Ratus, Kec. Medan Marelan, Kota Medan - Harga: Rp 7.000.000.000 - Spes</t>
  </si>
  <si>
    <t>{"keyword": "marelan", "tipe_listing": 1, "jenis_properti": 3, "page": 1, "paginate": 5}</t>
  </si>
  <si>
    <t xml:space="preserve">Berikut adalah beberapa pilihan gudang yang tersedia di sekitar KIM: 1. **Gudang — Kab. Deli Serdang, Sumber Melati Diski** - Harga: Rp 2.200.000.000 - Spesifikasi: LT 1000 m², LB 180 m², carport 1 - </t>
  </si>
  <si>
    <t>{"keyword": "kim", "jenis_properti": 5, "page": 1, "paginate": 5}</t>
  </si>
  <si>
    <t>Berikut adalah beberapa pilihan rumah yang dijual di daerah Ringroad dengan harga sekitar 1M dan memiliki 3 kamar: 1. **Dijual full perabot daerah Ringroad — Kota Medan, Tanjung Sari** - Harga: 900.00</t>
  </si>
  <si>
    <t>{"keyword": "ringroad", "harga_min": 800000000, "harga_max": 1200000000, "kamar_tidur": 3, "tipe_listing": 1, "jenis_properti": 1, "page": 1, "paginate": 5}</t>
  </si>
  <si>
    <t>Berikut adalah beberapa pilihan properti yang masih tersedia di daerah Ringroad, Kota Medan: 1. *Dijual Rumah Full Furnish di daerah Ringroad — Kota Medan, Sunggal* - Harga: 1.300.000.000 - Spesifikas</t>
  </si>
  <si>
    <t>{"keyword": "ringroad", "harga_min": 800000000, "harga_max": 1200000000, "kamar_tidur": 3, "tipe_listing": 1, "jenis_properti": 1, "page": 2, "paginate": 5}</t>
  </si>
  <si>
    <t>Berikut adalah beberapa pilihan properti yang mungkin sesuai untuk Anda: 1. *Dijual Rumah Full Furnish di daerah Ringroad — Kota Medan, Sunggal* - Harga: 1.300.000.000 - Spesifikasi: 3 KT, 2 KM, LT 16</t>
  </si>
  <si>
    <t>{"keyword": "ringroad", "harga_min": 800000000, "harga_max": 1200000000, "kamar_tidur": 3, "tipe_listing": 1, "jenis_properti": 1, "page": 3, "paginate": 5}</t>
  </si>
  <si>
    <t>Berikut adalah pilihan properti 3 lantai di lokasi dan harga yang sama (Ringroad) yang mungkin sesuai dengan kebutuhan Anda: 1. **Dijual Ruko 2 gandeng di daerah Ringroad — Kota Medan, Sei Sikambing B</t>
  </si>
  <si>
    <t>{"keyword": "ringroad", "harga_min": 800000000, "harga_max": 1200000000, "kamar_tidur": 3, "tipe_listing": 1, "jenis_properti": 1, "jumlah_tingkat": 3, "page": 1, "paginate": 5}</t>
  </si>
  <si>
    <t>Berikut adalah beberapa pilihan properti yang mungkin sesuai dengan permintaan Anda: 1. *Dijual Rumah Full Furnish di daerah Ringroad — Kota Medan, Sunggal* - Harga: 1.300.000.000 - Spesifikasi: 3 KT,</t>
  </si>
  <si>
    <t>{"keyword": "ringroad", "harga_min": 800000000, "harga_max": 1200000000, "kamar_tidur": 3, "tipe_listing": 1, "jenis_properti": 1, "jumlah_tingkat": 3, "page": 2, "paginate": 5}</t>
  </si>
  <si>
    <t>Maaf, berdasarkan data yang ada, tidak ada properti dengan lokasi dan jumlah lantai yang sama di bawah 800 juta. Apakah ada kata kunci lain yang ingin Anda cari atau mungkin Anda ingin mengubah kriter</t>
  </si>
  <si>
    <t>{"keyword": "ringroad", "harga_max": 800000000, "kamar_tidur": 3, "tipe_listing": 1, "jenis_properti": 1, "jumlah_tingkat": 3, "page": 1, "paginate": 5}</t>
  </si>
  <si>
    <t>Berikut adalah beberapa pilihan rumah di Medan yang dilengkapi dengan fasilitas CCTV: 1. **Dijual Rumah Mewah Full Furnished Kawasan Simpang Pemda Medan** - Lokasi: Jl. Flamboyan I/2, Kel. Tanjung Sel</t>
  </si>
  <si>
    <t>{"keyword": "medan", "info_lainnya": "cctv"}</t>
  </si>
  <si>
    <t>Berikut adalah beberapa pilihan rumah di Medan yang dilengkapi dengan fasilitas WiFi: 1. *Dijual Rumah Mewah Full Furnished Kawasan Simpang Pemda Medan* - Lokasi: Jl. Flamboyan I/2, Kel. Tanjung Selam</t>
  </si>
  <si>
    <t>{"keyword": "medan", "info_lainnya": "wifi"}</t>
  </si>
  <si>
    <t>Berikut adalah pilihan rumah dalam komplek yang memiliki fasilitas lapangan basket: 1. *Dijual Rumah Dalam Komplek Elite Full Furnished* Lokasi: Jl. Flamboyan I, komp. Taman asoka asri, Kel. Tanjung S</t>
  </si>
  <si>
    <t>{"info_lainnya": "basket"}</t>
  </si>
  <si>
    <t>Berikut adalah beberapa pilihan rumah yang dapat parkir beberapa mobil: 1. **Dijual Rumah Hook Luas Di Ringroad** - Lokasi: Jl. Taman Perkasa Indah, Komp. taman perkasa indah, Kota Medan - Harga: 2.50</t>
  </si>
  <si>
    <t>{"info_lainnya": "parkir"}</t>
  </si>
  <si>
    <t>Berikut adalah pilihan rumah yang sesuai dengan kriteria Anda, yaitu sudah dilengkapi dengan AC, lemari, dapur, dan tangki air: 1. *Rumah Komp. Karya Setuju* — Kota Medan, Karang Berombak Harga: 850.0</t>
  </si>
  <si>
    <t>{"info_lainnya": "tangki air"}</t>
  </si>
  <si>
    <t>Berikut adalah beberapa pilihan rumah yang dekat dengan mall: 1. *Dijual Rumah Cantik dekat Mall daerah Ringroad* - Lokasi: Jl. Bayu, Komp. The Living Harmony, Kel. Tanjung Rejo, Kec. Medan Sunggal, K</t>
  </si>
  <si>
    <t>{"info_lainnya": "mall"}</t>
  </si>
  <si>
    <t>Berikut adalah beberapa pilihan rumah yang dekat dengan sekolah di Medan: 1. *Dijual rumah dekat Sekolah — Kota Medan, Binjai* - Lokasi: Jl. Sepakat, gg Bersama, Kel. Binjai, Kec. Medan Denai - Harga:</t>
  </si>
  <si>
    <t>{"info_lainnya": "sekolah"}</t>
  </si>
  <si>
    <t>Berikut adalah pilihan rumah dekat mall dengan harga di bawah 800 juta: 1. *Rumah Murah Di Kawasan Millenium* - Lokasi: Jl. Bakti Luhur, Kota Medan - Harga: 700.000.000 - Spesifikasi: 4 KT, 3 KM, LT 8</t>
  </si>
  <si>
    <t>{"info_lainnya": "mall", "harga_max": 800000000}</t>
  </si>
  <si>
    <t>Berikut adalah pilihan rumah full furnished yang harganya di bawah 1 M dan berada dalam komplek dengan fasilitas lapangan basket: 1. **Dijual Rumah Dalam Komplek Elite Full Furnished** - Lokasi: Jl. F</t>
  </si>
  <si>
    <t>{"info_lainnya": "basket", "harga_max": 1000000000}</t>
  </si>
  <si>
    <t>Berikut adalah beberapa pilihan apartemen di Podomoro dengan harga di bawah 1.5 M: 1. *Dijual Cepat Apartment Podomoro* - Harga: 1.350.000.000 - Spesifikasi: 1 KT, 1 KM, LT 41 m², carport 1 - Link: ht</t>
  </si>
  <si>
    <t>{"keyword": "podomoro", "harga_max": 1500000000}</t>
  </si>
  <si>
    <t>Berikut adalah beberapa pilihan rumah yang tersedia di Citraland Bagya City, Medan: 1. *Dijual rumah kompleks Citraland Bagya City* - Lokasi: Ismail Harun, komp. Citraland Bagya City, Kel. Kenangan Ba</t>
  </si>
  <si>
    <t>{"keyword": "citraland bagya city"}</t>
  </si>
  <si>
    <t>Berikut adalah beberapa pilihan rumah yang dijual di Komplek Givency One: 1. *Dijual komplek givency one siaphuni type vercase* - Lokasi: Jl. Gaperta Ujung, Kel. Tj. Gusta, Kec. Medan Helvetia, Kota M</t>
  </si>
  <si>
    <t>{"keyword": "givency one", "tipe_listing": 1, "jenis_properti": 1}</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</si>
  <si>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</si>
  <si>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</si>
  <si>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</si>
  <si>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</si>
  <si>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</si>
  <si>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</si>
  <si>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</si>
  <si>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</si>
  <si>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</si>
  <si>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</si>
  <si>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</si>
  <si>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</si>
  <si>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</si>
  <si>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</si>
  <si>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</si>
  <si>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</si>
  <si>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</si>
  <si>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*Dijual Rumah di Jl. Cemara, Kota Medan</t>
  </si>
  <si>
    <t>https://metaproperty.co.id/listing/9878</t>
  </si>
  <si>
    <t>barat</t>
  </si>
  <si>
    <t>{"keyword": true, "jenis_properti": true, "tipe_listing": true}</t>
  </si>
  <si>
    <t>*Dijual Rumah di Gg. Tusam, Kota Medan</t>
  </si>
  <si>
    <t>https://metaproperty.co.id/listing/8341</t>
  </si>
  <si>
    <t>selatan</t>
  </si>
  <si>
    <t>*Dijual Rumah di Lrg. II Timur, Medan Estate</t>
  </si>
  <si>
    <t>https://metaproperty.co.id/listing/7426</t>
  </si>
  <si>
    <t>timur</t>
  </si>
  <si>
    <t>*Dijual Rumah Semi Furnished di Jl. Anggrek, Medan Estate</t>
  </si>
  <si>
    <t>https://metaproperty.co.id/listing/9278</t>
  </si>
  <si>
    <t>non furnished</t>
  </si>
  <si>
    <t>*Dijual Rumah Bertingkat di Jl. Perwakilan I, Kota Medan</t>
  </si>
  <si>
    <t>https://metaproperty.co.id/listing/9275</t>
  </si>
  <si>
    <t>*Dijual full perabot daerah Ringroad</t>
  </si>
  <si>
    <t>https://metaproperty.co.id/listing/7980</t>
  </si>
  <si>
    <t>*Dijual Rumah Full Furnish di daerah Ringroad</t>
  </si>
  <si>
    <t>https://metaproperty.co.id/listing/9821</t>
  </si>
  <si>
    <t>*Dijual Rumah Cantik Full Furnish Daerah Ringroad</t>
  </si>
  <si>
    <t>https://metaproperty.co.id/listing/9724</t>
  </si>
  <si>
    <t>*Dijual Cepat Rumah Luas di daerah RingRoad</t>
  </si>
  <si>
    <t>https://metaproperty.co.id/listing/7329</t>
  </si>
  <si>
    <t>utara</t>
  </si>
  <si>
    <t>*Dijual Rumah Hook Luas Di Ringroad</t>
  </si>
  <si>
    <t>https://metaproperty.co.id/listing/9826</t>
  </si>
  <si>
    <t>*Disewakan Rumah di Royal Sumatera</t>
  </si>
  <si>
    <t>https://metaproperty.co.id/listing/9976</t>
  </si>
  <si>
    <t>*Disewakan Rumah Cantik Full Furnished</t>
  </si>
  <si>
    <t>https://metaproperty.co.id/listing/6091</t>
  </si>
  <si>
    <t>full furnished</t>
  </si>
  <si>
    <t>*Dijual Rumah daerah Cemara</t>
  </si>
  <si>
    <t>{"keyword": true, "harga_min": false, "harga_max": true, "jenis_properti": true, "tipe_listing": true}</t>
  </si>
  <si>
    <t>*Dijual Rumah Bertingkat daerah Cemara</t>
  </si>
  <si>
    <t>baru</t>
  </si>
  <si>
    <t>{"keyword": true, "harga_min": true, "harga_max": true, "jenis_properti": true, "tipe_listing": true}</t>
  </si>
  <si>
    <t>*Dijual Rumah di Gg. Tusam</t>
  </si>
  <si>
    <t>*Dijual Rumah Fully Furnish Setiabudi Dekat USU</t>
  </si>
  <si>
    <t>https://metaproperty.co.id/listing/9091</t>
  </si>
  <si>
    <t>{"keyword": true, "jenis_properti": true, "tipe_listing": false}</t>
  </si>
  <si>
    <t>*Dijual Rumah Cantik di Setia Budi Full Furnish</t>
  </si>
  <si>
    <t>https://metaproperty.co.id/listing/9209</t>
  </si>
  <si>
    <t>*Dijual Rumah Dekat Kampus UMN</t>
  </si>
  <si>
    <t>https://metaproperty.co.id/listing/6938</t>
  </si>
  <si>
    <t>{"keyword": false, "jenis_properti": true, "tipe_listing": false}</t>
  </si>
  <si>
    <t>*Dijual Rumah 2 Lantai dekat UMSU</t>
  </si>
  <si>
    <t>https://metaproperty.co.id/listing/6920</t>
  </si>
  <si>
    <t>*Dijual Rumah Besar Lahan Luas dekat UMSU</t>
  </si>
  <si>
    <t>https://metaproperty.co.id/listing/1122</t>
  </si>
  <si>
    <t>*Di Jual Ruko Daerah Krakatau</t>
  </si>
  <si>
    <t>https://metaproperty.co.id/listing/8560</t>
  </si>
  <si>
    <t>*Ruko Gandeng Kosong Daerah Krakatau</t>
  </si>
  <si>
    <t>https://metaproperty.co.id/listing/8406</t>
  </si>
  <si>
    <t>kosong</t>
  </si>
  <si>
    <t>*RUKO/Townhouse Karantina _ Krakatau</t>
  </si>
  <si>
    <t>https://metaproperty.co.id/listing/938</t>
  </si>
  <si>
    <t>*Dijual Ruko 2 Lantai di Daerah Krakatau</t>
  </si>
  <si>
    <t>https://metaproperty.co.id/listing/7441</t>
  </si>
  <si>
    <t>*Dijual Ruko Siap Huni daerah Krakatau</t>
  </si>
  <si>
    <t>https://metaproperty.co.id/listing/5065</t>
  </si>
  <si>
    <t>Dijual tanah daerah Marelan</t>
  </si>
  <si>
    <t>https://metaproperty.co.id/listing/6912</t>
  </si>
  <si>
    <t>Tanah + Rumah Marelan</t>
  </si>
  <si>
    <t>https://metaproperty.co.id/listing/257</t>
  </si>
  <si>
    <t>Jual tanah beserta ex-cafe daerah Marelan</t>
  </si>
  <si>
    <t>https://metaproperty.co.id/listing/9916</t>
  </si>
  <si>
    <t>Dijual tanah luas di daerah Marelan</t>
  </si>
  <si>
    <t>https://metaproperty.co.id/listing/9257</t>
  </si>
  <si>
    <t>{"keyword": true, "jenis_properti": false, "tipe_listing": true}</t>
  </si>
  <si>
    <t>Rumah dijual di daerah Marelan</t>
  </si>
  <si>
    <t>https://metaproperty.co.id/listing/5117</t>
  </si>
  <si>
    <t>*Gudang — Kab. Deli Serdang, Sumber Melati Diski</t>
  </si>
  <si>
    <t>https://metaproperty.co.id/listing/9845</t>
  </si>
  <si>
    <t>{"keyword": false, "jenis_properti": true}</t>
  </si>
  <si>
    <t>*Dijual Gudang Cocok untuk Usaha — Kota Medan, Sekip</t>
  </si>
  <si>
    <t>https://metaproperty.co.id/listing/6936</t>
  </si>
  <si>
    <t>*Disewa Gudang Letda Sudjono — Kab. Deli Serdang, Tembung</t>
  </si>
  <si>
    <t>https://metaproperty.co.id/listing/192</t>
  </si>
  <si>
    <t>*Dijual Gudang Include Kantor — Kota Medan, Harjosari II</t>
  </si>
  <si>
    <t>https://metaproperty.co.id/listing/8007</t>
  </si>
  <si>
    <t>*Dijual Gudang di Lintas Sumatera Indrapura — Kab. Batu Bara, Sipare-Pare</t>
  </si>
  <si>
    <t>https://metaproperty.co.id/listing/51</t>
  </si>
  <si>
    <t>*Dijual full perabot daerah Ringroad — Kota Medan, Tanjung Sari</t>
  </si>
  <si>
    <t>{"keyword": true, "harga_min": true, "harga_max": true, "kamar_tidur": true, "jenis_properti": true, "tipe_listing": true}</t>
  </si>
  <si>
    <t>*Dijual Rumah Full Furnish di daerah ringroad — Kota Medan, Sunggal</t>
  </si>
  <si>
    <t>{"keyword": true, "harga_min": true, "harga_max": false, "kamar_tidur": true, "jenis_properti": true, "tipe_listing": true}</t>
  </si>
  <si>
    <t>*Dijual Rumah Cantik Full Furnish Daerah Ringroad — Kota Medan, Sunggal</t>
  </si>
  <si>
    <t>*Rumah Komplek Daerah Ringroad — Kota Medan, Asam Kumbang</t>
  </si>
  <si>
    <t>https://metaproperty.co.id/listing/9614</t>
  </si>
  <si>
    <t>*Dijual Rumah Daerah Ringroad Komplek Mewah — Kota Medan, Sunggal</t>
  </si>
  <si>
    <t>https://metaproperty.co.id/listing/8307</t>
  </si>
  <si>
    <t>Dijual Rumah Full Furnish di daerah Ringroad — Kota Medan, Sunggal</t>
  </si>
  <si>
    <t>Dijual full perabot daerah Ringroad — Kota Medan, Tanjung Sari</t>
  </si>
  <si>
    <t>Dijual Rumah Daerah Ringroad Komplek Mewah — Kota Medan, Sunggal</t>
  </si>
  <si>
    <t>Dijual Rumah Hook Luas Di Ringroad — Kota Medan, Tanjung Sari</t>
  </si>
  <si>
    <t>Dijual Rumah Cantik Full Furnish Daerah Ringroad — Kota Medan, Sunggal</t>
  </si>
  <si>
    <t>Dijual Rumah Daerah Ringroad — Kota Medan, Sei Sikambing B</t>
  </si>
  <si>
    <t>https://metaproperty.co.id/listing/9052</t>
  </si>
  <si>
    <t>*Dijual Ruko 2 gandeng di daerah Ringroad — Kota Medan, Sei Sikambing B</t>
  </si>
  <si>
    <t>https://metaproperty.co.id/listing/9658</t>
  </si>
  <si>
    <t>{"keyword": true, "harga_min": true, "harga_max": false, "kamar_tidur": true, "jumlah_tingkat": false, "jenis_properti": false, "tipe_listing": true}</t>
  </si>
  <si>
    <t>{"keyword": true, "harga_min": true, "harga_max": false, "kamar_tidur": true, "jumlah_tingkat": false, "jenis_properti": true, "tipe_listing": true}</t>
  </si>
  <si>
    <t>{"keyword": true, "harga_min": true, "harga_max": true, "kamar_tidur": true, "jumlah_tingkat": false, "jenis_properti": true, "tipe_listing": true}</t>
  </si>
  <si>
    <t>*Dijual Rumah Mewah Full Furnished Kawasan Simpang Pemda Medan</t>
  </si>
  <si>
    <t>https://metaproperty.co.id/listing/7801</t>
  </si>
  <si>
    <t>{"keyword": true, "info_lainnya": true}</t>
  </si>
  <si>
    <t>*Dijual Rumah Full Furnish Daerah Gatsu</t>
  </si>
  <si>
    <t>https://metaproperty.co.id/listing/7184</t>
  </si>
  <si>
    <t>Dijual Rumah Mewah Full Furnished Kawasan Simpang Pemda Medan</t>
  </si>
  <si>
    <t>Rumah di Marriot Private Residence</t>
  </si>
  <si>
    <t>https://metaproperty.co.id/listing/9849</t>
  </si>
  <si>
    <t>{"keyword": true, "info_lainnya": false}</t>
  </si>
  <si>
    <t>Rumah Dalam Komplek Full Furnished</t>
  </si>
  <si>
    <t>https://metaproperty.co.id/listing/9613</t>
  </si>
  <si>
    <t>Rumah Full Furnished Medan Sunggal</t>
  </si>
  <si>
    <t>https://metaproperty.co.id/listing/9661</t>
  </si>
  <si>
    <t>Dijual Rumah Dalam Komplek Hadap Utara</t>
  </si>
  <si>
    <t>https://metaproperty.co.id/listing/7217</t>
  </si>
  <si>
    <t>Dijual Rumah Dalam Komplek Elite Full Furnished</t>
  </si>
  <si>
    <t>https://metaproperty.co.id/listing/9994</t>
  </si>
  <si>
    <t>{"info_lainnya": true}</t>
  </si>
  <si>
    <t>Dijual rumah dalam komplek</t>
  </si>
  <si>
    <t>https://metaproperty.co.id/listing/7667</t>
  </si>
  <si>
    <t>{"info_lainnya": false}</t>
  </si>
  <si>
    <t>*Dijual Rumah Ampera 2</t>
  </si>
  <si>
    <t>https://metaproperty.co.id/listing/4350</t>
  </si>
  <si>
    <t>*Rumah besar cantik full furnish bawah pasar</t>
  </si>
  <si>
    <t>https://metaproperty.co.id/listing/529</t>
  </si>
  <si>
    <t>*Rumah Luas Di Medan Baru</t>
  </si>
  <si>
    <t>https://metaproperty.co.id/listing/4630</t>
  </si>
  <si>
    <t>Rumah Komp. Karya Setuju</t>
  </si>
  <si>
    <t>https://metaproperty.co.id/listing/758</t>
  </si>
  <si>
    <t>Dijual rumah full furnished dalam komplek</t>
  </si>
  <si>
    <t>https://metaproperty.co.id/listing/7732</t>
  </si>
  <si>
    <t>Dijual rumah daerah pembangunan i</t>
  </si>
  <si>
    <t>https://metaproperty.co.id/listing/8105</t>
  </si>
  <si>
    <t>Dijual Rumah Cantik dekat Mall daerah Ringroad</t>
  </si>
  <si>
    <t>https://metaproperty.co.id/listing/9869</t>
  </si>
  <si>
    <t>Dijual Rumah dekat Milenium Plaza</t>
  </si>
  <si>
    <t>https://metaproperty.co.id/listing/1836</t>
  </si>
  <si>
    <t>Dijual Rumah dekat Medan Fair Plaza</t>
  </si>
  <si>
    <t>https://metaproperty.co.id/listing/1620</t>
  </si>
  <si>
    <t>Dijual Rumah dalam komplek dekat plaza</t>
  </si>
  <si>
    <t>https://metaproperty.co.id/listing/7594</t>
  </si>
  <si>
    <t>Jual Cepat Ruko Dekat Mall Manhattan</t>
  </si>
  <si>
    <t>https://metaproperty.co.id/listing/1742</t>
  </si>
  <si>
    <t>Dijual rumah dekat Sekolah — Kota Medan, Binjai</t>
  </si>
  <si>
    <t>https://metaproperty.co.id/listing/7268</t>
  </si>
  <si>
    <t>Dijual rumah dekat Sekolah — Kota Medan, Besar</t>
  </si>
  <si>
    <t>https://metaproperty.co.id/listing/6986</t>
  </si>
  <si>
    <t>Dijual rumah dekat sekolah — Kota Medan, Tegal S Mandala II</t>
  </si>
  <si>
    <t>https://metaproperty.co.id/listing/7705</t>
  </si>
  <si>
    <t>Dijual rumah dekat pajak dan sekolah — Kota Medan, Sitirejo II</t>
  </si>
  <si>
    <t>https://metaproperty.co.id/listing/7423</t>
  </si>
  <si>
    <t>Dijual Rumah Dekat Kampus UMN — Kota Medan, Sitirejo II</t>
  </si>
  <si>
    <t>Rumah Murah Di Kawasan Millenium</t>
  </si>
  <si>
    <t>https://metaproperty.co.id/listing/7320</t>
  </si>
  <si>
    <t>{"harga_max": true, "info_lainnya": false}</t>
  </si>
  <si>
    <t>Tusam House Rumah Cantik Murah</t>
  </si>
  <si>
    <t>https://metaproperty.co.id/listing/567</t>
  </si>
  <si>
    <t>Jual Rumah di Dalam Komplek di Medan-Binjai Km 10.5</t>
  </si>
  <si>
    <t>https://metaproperty.co.id/listing/7449</t>
  </si>
  <si>
    <t>{"harga_max": true, "info_lainnya": true}</t>
  </si>
  <si>
    <t>Dijual Rumah cantik harga murah</t>
  </si>
  <si>
    <t>https://metaproperty.co.id/listing/1510</t>
  </si>
  <si>
    <t>*Dijual Rumah Dalam Komplek Elite Full Furnished</t>
  </si>
  <si>
    <t>*Dijual Rumah Kompleks Karya Mas</t>
  </si>
  <si>
    <t>https://metaproperty.co.id/listing/8992</t>
  </si>
  <si>
    <t>Dijual Cepat Apartment Podomoro</t>
  </si>
  <si>
    <t>https://metaproperty.co.id/listing/7302</t>
  </si>
  <si>
    <t>{"keyword": true, "harga_max": true}</t>
  </si>
  <si>
    <t>Aparteman Podomoro 1Br 41m2 Full Furnish</t>
  </si>
  <si>
    <t>https://metaproperty.co.id/listing/8417</t>
  </si>
  <si>
    <t>JUAL MURAH APARTMENT PODOMORO TOWER LIBERTY</t>
  </si>
  <si>
    <t>https://metaproperty.co.id/listing/7942</t>
  </si>
  <si>
    <t>Dijual Murah Apartemen Podomoro 2 Kamar Include Perabot</t>
  </si>
  <si>
    <t>https://metaproperty.co.id/listing/7208</t>
  </si>
  <si>
    <t>Dijual Apartment Podomoro</t>
  </si>
  <si>
    <t>https://metaproperty.co.id/listing/6886</t>
  </si>
  <si>
    <t>Dijual rumah kompleks Citraland Bagya City</t>
  </si>
  <si>
    <t>https://metaproperty.co.id/listing/9004</t>
  </si>
  <si>
    <t>{"keyword": true}</t>
  </si>
  <si>
    <t>Citraland Bagya City Cluster Clarke Quay</t>
  </si>
  <si>
    <t>https://metaproperty.co.id/listing/7743</t>
  </si>
  <si>
    <t>Rumah Dijual Dekat Citraland Gammacity</t>
  </si>
  <si>
    <t>https://metaproperty.co.id/listing/9739</t>
  </si>
  <si>
    <t>HUNIAN SIAP HUNI DEKAT CITRALAND</t>
  </si>
  <si>
    <t>https://metaproperty.co.id/listing/8375</t>
  </si>
  <si>
    <t>CITRALAND CLUSTER RAFFLES SUDAH RENOVASI</t>
  </si>
  <si>
    <t>https://metaproperty.co.id/listing/8016</t>
  </si>
  <si>
    <t>Dijual komplek givency one siaphuni type vercase</t>
  </si>
  <si>
    <t>https://metaproperty.co.id/listing/7084</t>
  </si>
  <si>
    <t>Dijual Rumah Semi Furnished di Komplek Givency One</t>
  </si>
  <si>
    <t>https://metaproperty.co.id/listing/8829</t>
  </si>
  <si>
    <t>Dijual Rumah di Komplek Givency One</t>
  </si>
  <si>
    <t>https://metaproperty.co.id/listing/9099</t>
  </si>
  <si>
    <t>Di jual komplek givency one type Dior</t>
  </si>
  <si>
    <t>https://metaproperty.co.id/listing/8101</t>
  </si>
  <si>
    <t>GIVENCY ONE</t>
  </si>
  <si>
    <t>https://metaproperty.co.id/listing/8493</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</si>
  <si>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</si>
  <si>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</si>
  <si>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</si>
  <si>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</si>
  <si>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</si>
  <si>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</si>
  <si>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</si>
  <si>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</si>
  <si>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</si>
  <si>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</si>
  <si>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</si>
  <si>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</si>
  <si>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</si>
  <si>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</si>
  <si>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</si>
  <si>
    <t>=</t>
  </si>
  <si>
    <t>copy data dari file yang digenerate python</t>
  </si>
  <si>
    <t>sheet per_item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</si>
</sst>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
  <sheetViews>
    <sheetView tabSelected="1" topLeftCell="F1" workbookViewId="0">
      <selection activeCell="S33" sqref="S33"/>
    </sheetView>
  </sheetViews>
  <sheetFormatPr defaultRowHeight="14.4" x14ac:dyDescent="0.3"/>
  <cols>
    <col min="6" max="6" width="15.33203125" bestFit="1" customWidth="1"/>
    <col min="7" max="7" width="11.6640625" bestFit="1" customWidth="1"/>
    <col min="8" max="8" width="12" bestFit="1" customWidth="1"/>
    <col min="10" max="12" width="0" hidden="1" customWidth="1"/>
    <col min="13" max="13" width="12" bestFit="1" customWidth="1"/>
    <col min="14" max="14" width="16" hidden="1" customWidth="1"/>
    <col min="15" max="15" width="18.109375" hidden="1" customWidth="1"/>
    <col min="16" max="16" width="15.3320312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s="2" t="s">
        <v>22</v>
      </c>
      <c r="B2" s="2" t="s">
        <v>23</v>
      </c>
      <c r="C2" s="2" t="s">
        <v>24</v>
      </c>
      <c r="D2" s="2">
        <v>1</v>
      </c>
      <c r="E2" s="2" t="b">
        <v>1</v>
      </c>
      <c r="F2" s="2" t="b">
        <v>0</v>
      </c>
      <c r="G2" s="2"/>
      <c r="H2">
        <f>COUNTIF(per_item!$D$2:$D$108,per_question!D2)</f>
        <v>5</v>
      </c>
      <c r="I2">
        <f>IF(H2=0,"",SUMIF(per_item!$D$2:$D$108,per_question!D2,per_item!$I$2:$I$108)/per_question!H2)</f>
        <v>1</v>
      </c>
      <c r="J2">
        <v>1</v>
      </c>
      <c r="K2">
        <v>1</v>
      </c>
      <c r="L2">
        <v>1</v>
      </c>
      <c r="M2">
        <f>IF(H2=0,"",SUMIF(per_item!$D$2:$D$108,per_question!D2,per_item!$J$2:$J$108)/per_question!H2)</f>
        <v>1</v>
      </c>
      <c r="N2">
        <v>15</v>
      </c>
      <c r="O2">
        <v>15</v>
      </c>
      <c r="P2" t="str">
        <f>IF(AND(F2=TRUE,G2="API has data"),0,IF(AND(F2=TRUE,G2="API empty"),1,""))</f>
        <v/>
      </c>
      <c r="Q2" t="str">
        <f t="shared" ref="Q2:Q8" si="0">IF(AND(R2="Pos",S2="Pos"),"TP",IF(AND(R2="Neg",S2="Neg",P2=1),"TN",IF(AND(R2="Pos",S2="Neg"),"FN",IF(AND(R2="Neg",S2="Neg",P2=""),"FP","UNK"))))</f>
        <v>TP</v>
      </c>
      <c r="R2" s="2" t="s">
        <v>26</v>
      </c>
      <c r="S2" t="str">
        <f>IF(AND(M2&gt;=global_runs!$D$2,per_question!F2=FALSE),"Pos",IF(AND(M2&lt;global_runs!$D$2,per_question!F2=FALSE),"Neg",IF(per_question!F2=TRUE,"Neg","Unknown")))</f>
        <v>Pos</v>
      </c>
      <c r="T2" s="2">
        <v>0.6</v>
      </c>
      <c r="U2" s="2" t="s">
        <v>27</v>
      </c>
      <c r="V2" s="2" t="s">
        <v>28</v>
      </c>
    </row>
    <row r="3" spans="1:22" x14ac:dyDescent="0.3">
      <c r="A3" s="2" t="s">
        <v>22</v>
      </c>
      <c r="B3" s="2" t="s">
        <v>23</v>
      </c>
      <c r="C3" s="2" t="s">
        <v>24</v>
      </c>
      <c r="D3" s="2">
        <v>2</v>
      </c>
      <c r="E3" s="2" t="b">
        <v>1</v>
      </c>
      <c r="F3" s="2" t="b">
        <v>0</v>
      </c>
      <c r="G3" s="2"/>
      <c r="H3">
        <f>COUNTIF(per_item!$D$2:$D$108,per_question!D3)</f>
        <v>5</v>
      </c>
      <c r="I3">
        <f>IF(H3=0,"",SUMIF(per_item!$D$2:$D$108,per_question!D3,per_item!$I$2:$I$108)/per_question!H3)</f>
        <v>1</v>
      </c>
      <c r="J3">
        <v>1</v>
      </c>
      <c r="K3">
        <v>1</v>
      </c>
      <c r="L3">
        <v>1</v>
      </c>
      <c r="M3">
        <f>IF(H3=0,"",SUMIF(per_item!$D$2:$D$108,per_question!D3,per_item!$J$2:$J$108)/per_question!H3)</f>
        <v>1</v>
      </c>
      <c r="N3">
        <v>15</v>
      </c>
      <c r="O3">
        <v>15</v>
      </c>
      <c r="P3" t="str">
        <f t="shared" ref="P3:P31" si="1">IF(AND(F3=TRUE,G3="API has data"),0,IF(AND(F3=TRUE,G3="API empty"),1,""))</f>
        <v/>
      </c>
      <c r="Q3" t="str">
        <f t="shared" si="0"/>
        <v>TP</v>
      </c>
      <c r="R3" s="2" t="s">
        <v>26</v>
      </c>
      <c r="S3" t="str">
        <f>IF(AND(M3&gt;=global_runs!$D$2,per_question!F3=FALSE),"Pos",IF(AND(M3&lt;global_runs!$D$2,per_question!F3=FALSE),"Neg",IF(per_question!F3=TRUE,"Neg","Unknown")))</f>
        <v>Pos</v>
      </c>
      <c r="T3" s="2">
        <v>0.6</v>
      </c>
      <c r="U3" s="2" t="s">
        <v>29</v>
      </c>
      <c r="V3" s="2" t="s">
        <v>30</v>
      </c>
    </row>
    <row r="4" spans="1:22" x14ac:dyDescent="0.3">
      <c r="A4" s="2" t="s">
        <v>22</v>
      </c>
      <c r="B4" s="2" t="s">
        <v>23</v>
      </c>
      <c r="C4" s="2" t="s">
        <v>24</v>
      </c>
      <c r="D4" s="2">
        <v>3</v>
      </c>
      <c r="E4" s="2" t="b">
        <v>1</v>
      </c>
      <c r="F4" s="2" t="b">
        <v>0</v>
      </c>
      <c r="G4" s="2"/>
      <c r="H4">
        <f>COUNTIF(per_item!$D$2:$D$108,per_question!D4)</f>
        <v>2</v>
      </c>
      <c r="I4">
        <f>IF(H4=0,"",SUMIF(per_item!$D$2:$D$108,per_question!D4,per_item!$I$2:$I$108)/per_question!H4)</f>
        <v>1</v>
      </c>
      <c r="J4">
        <v>1</v>
      </c>
      <c r="K4">
        <v>1</v>
      </c>
      <c r="L4">
        <v>1</v>
      </c>
      <c r="M4">
        <f>IF(H4=0,"",SUMIF(per_item!$D$2:$D$108,per_question!D4,per_item!$J$2:$J$108)/per_question!H4)</f>
        <v>1</v>
      </c>
      <c r="N4">
        <v>6</v>
      </c>
      <c r="O4">
        <v>6</v>
      </c>
      <c r="P4" t="str">
        <f t="shared" si="1"/>
        <v/>
      </c>
      <c r="Q4" t="str">
        <f t="shared" si="0"/>
        <v>TP</v>
      </c>
      <c r="R4" s="2" t="s">
        <v>26</v>
      </c>
      <c r="S4" t="str">
        <f>IF(AND(M4&gt;=global_runs!$D$2,per_question!F4=FALSE),"Pos",IF(AND(M4&lt;global_runs!$D$2,per_question!F4=FALSE),"Neg",IF(per_question!F4=TRUE,"Neg","Unknown")))</f>
        <v>Pos</v>
      </c>
      <c r="T4" s="2">
        <v>0.6</v>
      </c>
      <c r="U4" s="2" t="s">
        <v>31</v>
      </c>
      <c r="V4" s="2" t="s">
        <v>32</v>
      </c>
    </row>
    <row r="5" spans="1:22" x14ac:dyDescent="0.3">
      <c r="A5" s="2" t="s">
        <v>22</v>
      </c>
      <c r="B5" s="2" t="s">
        <v>23</v>
      </c>
      <c r="C5" s="2" t="s">
        <v>24</v>
      </c>
      <c r="D5" s="2">
        <v>4</v>
      </c>
      <c r="E5" s="2" t="b">
        <v>1</v>
      </c>
      <c r="F5" s="2" t="b">
        <v>0</v>
      </c>
      <c r="G5" s="2"/>
      <c r="H5">
        <f>COUNTIF(per_item!$D$2:$D$108,per_question!D5)</f>
        <v>3</v>
      </c>
      <c r="I5">
        <f>IF(H5=0,"",SUMIF(per_item!$D$2:$D$108,per_question!D5,per_item!$I$2:$I$108)/per_question!H5)</f>
        <v>0.93333333333333324</v>
      </c>
      <c r="J5">
        <v>1</v>
      </c>
      <c r="K5">
        <v>0.93333333333333335</v>
      </c>
      <c r="L5">
        <v>0.96551724137931039</v>
      </c>
      <c r="M5">
        <f>IF(H5=0,"",SUMIF(per_item!$D$2:$D$108,per_question!D5,per_item!$J$2:$J$108)/per_question!H5)</f>
        <v>0.66666666666666663</v>
      </c>
      <c r="N5">
        <v>15</v>
      </c>
      <c r="O5">
        <v>14</v>
      </c>
      <c r="P5" t="str">
        <f t="shared" si="1"/>
        <v/>
      </c>
      <c r="Q5" t="str">
        <f t="shared" si="0"/>
        <v>TP</v>
      </c>
      <c r="R5" s="2" t="s">
        <v>26</v>
      </c>
      <c r="S5" t="str">
        <f>IF(AND(M5&gt;=global_runs!$D$2,per_question!F5=FALSE),"Pos",IF(AND(M5&lt;global_runs!$D$2,per_question!F5=FALSE),"Neg",IF(per_question!F5=TRUE,"Neg","Unknown")))</f>
        <v>Pos</v>
      </c>
      <c r="T5" s="2">
        <v>0.6</v>
      </c>
      <c r="U5" s="2" t="s">
        <v>33</v>
      </c>
      <c r="V5" s="2" t="s">
        <v>34</v>
      </c>
    </row>
    <row r="6" spans="1:22" x14ac:dyDescent="0.3">
      <c r="A6" s="2" t="s">
        <v>22</v>
      </c>
      <c r="B6" s="2" t="s">
        <v>23</v>
      </c>
      <c r="C6" s="2" t="s">
        <v>24</v>
      </c>
      <c r="D6" s="2">
        <v>5</v>
      </c>
      <c r="E6" s="2" t="b">
        <v>0</v>
      </c>
      <c r="F6" s="2" t="b">
        <v>1</v>
      </c>
      <c r="G6" s="2" t="s">
        <v>35</v>
      </c>
      <c r="H6">
        <f>COUNTIF(per_item!$D$2:$D$108,per_question!D6)</f>
        <v>0</v>
      </c>
      <c r="I6" t="str">
        <f>IF(H6=0,"",SUMIF(per_item!$D$2:$D$108,per_question!D6,per_item!$I$2:$I$108)/per_question!H6)</f>
        <v/>
      </c>
      <c r="M6" t="str">
        <f>IF(H6=0,"",SUMIF(per_item!$D$2:$D$108,per_question!D6,per_item!$J$2:$J$108)/per_question!H6)</f>
        <v/>
      </c>
      <c r="N6">
        <v>0</v>
      </c>
      <c r="O6">
        <v>0</v>
      </c>
      <c r="P6">
        <f t="shared" si="1"/>
        <v>0</v>
      </c>
      <c r="Q6" t="str">
        <f t="shared" si="0"/>
        <v>FN</v>
      </c>
      <c r="R6" s="2" t="s">
        <v>26</v>
      </c>
      <c r="S6" t="str">
        <f>IF(AND(M6&gt;=global_runs!$D$2,per_question!F6=FALSE),"Pos",IF(AND(M6&lt;global_runs!$D$2,per_question!F6=FALSE),"Neg",IF(per_question!F6=TRUE,"Neg","Unknown")))</f>
        <v>Neg</v>
      </c>
      <c r="T6" s="2">
        <v>0.6</v>
      </c>
      <c r="U6" s="2" t="s">
        <v>38</v>
      </c>
      <c r="V6" s="2" t="s">
        <v>39</v>
      </c>
    </row>
    <row r="7" spans="1:22" x14ac:dyDescent="0.3">
      <c r="A7" s="2" t="s">
        <v>22</v>
      </c>
      <c r="B7" s="2" t="s">
        <v>23</v>
      </c>
      <c r="C7" s="2" t="s">
        <v>24</v>
      </c>
      <c r="D7" s="2">
        <v>6</v>
      </c>
      <c r="E7" s="2" t="b">
        <v>0</v>
      </c>
      <c r="F7" s="2" t="b">
        <v>1</v>
      </c>
      <c r="G7" s="2" t="s">
        <v>35</v>
      </c>
      <c r="H7">
        <f>COUNTIF(per_item!$D$2:$D$108,per_question!D7)</f>
        <v>0</v>
      </c>
      <c r="I7" t="str">
        <f>IF(H7=0,"",SUMIF(per_item!$D$2:$D$108,per_question!D7,per_item!$I$2:$I$108)/per_question!H7)</f>
        <v/>
      </c>
      <c r="M7" t="str">
        <f>IF(H7=0,"",SUMIF(per_item!$D$2:$D$108,per_question!D7,per_item!$J$2:$J$108)/per_question!H7)</f>
        <v/>
      </c>
      <c r="N7">
        <v>0</v>
      </c>
      <c r="O7">
        <v>0</v>
      </c>
      <c r="P7">
        <f t="shared" si="1"/>
        <v>0</v>
      </c>
      <c r="Q7" t="str">
        <f t="shared" si="0"/>
        <v>FN</v>
      </c>
      <c r="R7" s="2" t="s">
        <v>26</v>
      </c>
      <c r="S7" t="str">
        <f>IF(AND(M7&gt;=global_runs!$D$2,per_question!F7=FALSE),"Pos",IF(AND(M7&lt;global_runs!$D$2,per_question!F7=FALSE),"Neg",IF(per_question!F7=TRUE,"Neg","Unknown")))</f>
        <v>Neg</v>
      </c>
      <c r="T7" s="2">
        <v>0.6</v>
      </c>
      <c r="U7" s="2" t="s">
        <v>40</v>
      </c>
      <c r="V7" s="2" t="s">
        <v>41</v>
      </c>
    </row>
    <row r="8" spans="1:22" x14ac:dyDescent="0.3">
      <c r="A8" s="2" t="s">
        <v>22</v>
      </c>
      <c r="B8" s="2" t="s">
        <v>23</v>
      </c>
      <c r="C8" s="2" t="s">
        <v>24</v>
      </c>
      <c r="D8" s="2">
        <v>7</v>
      </c>
      <c r="E8" s="2" t="b">
        <v>0</v>
      </c>
      <c r="F8" s="2" t="b">
        <v>1</v>
      </c>
      <c r="G8" s="2" t="s">
        <v>42</v>
      </c>
      <c r="H8">
        <f>COUNTIF(per_item!$D$2:$D$108,per_question!D8)</f>
        <v>0</v>
      </c>
      <c r="I8" t="str">
        <f>IF(H8=0,"",SUMIF(per_item!$D$2:$D$108,per_question!D8,per_item!$I$2:$I$108)/per_question!H8)</f>
        <v/>
      </c>
      <c r="M8" t="str">
        <f>IF(H8=0,"",SUMIF(per_item!$D$2:$D$108,per_question!D8,per_item!$J$2:$J$108)/per_question!H8)</f>
        <v/>
      </c>
      <c r="N8">
        <v>0</v>
      </c>
      <c r="O8">
        <v>0</v>
      </c>
      <c r="P8">
        <f t="shared" si="1"/>
        <v>1</v>
      </c>
      <c r="Q8" t="str">
        <f t="shared" si="0"/>
        <v>TN</v>
      </c>
      <c r="R8" s="2" t="s">
        <v>37</v>
      </c>
      <c r="S8" t="str">
        <f>IF(AND(M8&gt;=global_runs!$D$2,per_question!F8=FALSE),"Pos",IF(AND(M8&lt;global_runs!$D$2,per_question!F8=FALSE),"Neg",IF(per_question!F8=TRUE,"Neg","Unknown")))</f>
        <v>Neg</v>
      </c>
      <c r="T8" s="2">
        <v>0.6</v>
      </c>
      <c r="U8" s="2" t="s">
        <v>44</v>
      </c>
      <c r="V8" s="2" t="s">
        <v>45</v>
      </c>
    </row>
    <row r="9" spans="1:22" x14ac:dyDescent="0.3">
      <c r="A9" s="2" t="s">
        <v>22</v>
      </c>
      <c r="B9" s="2" t="s">
        <v>23</v>
      </c>
      <c r="C9" s="2" t="s">
        <v>24</v>
      </c>
      <c r="D9" s="2">
        <v>8</v>
      </c>
      <c r="E9" s="2" t="b">
        <v>1</v>
      </c>
      <c r="F9" s="2" t="b">
        <v>0</v>
      </c>
      <c r="G9" s="2"/>
      <c r="H9">
        <f>COUNTIF(per_item!$D$2:$D$108,per_question!D9)</f>
        <v>5</v>
      </c>
      <c r="I9">
        <f>IF(H9=0,"",SUMIF(per_item!$D$2:$D$108,per_question!D9,per_item!$I$2:$I$108)/per_question!H9)</f>
        <v>0.46666666666666662</v>
      </c>
      <c r="J9">
        <v>1</v>
      </c>
      <c r="K9">
        <v>0.46666666666666667</v>
      </c>
      <c r="L9">
        <v>0.63636363636363635</v>
      </c>
      <c r="M9">
        <f>IF(H9=0,"",SUMIF(per_item!$D$2:$D$108,per_question!D9,per_item!$J$2:$J$108)/per_question!H9)</f>
        <v>0</v>
      </c>
      <c r="N9">
        <v>15</v>
      </c>
      <c r="O9">
        <v>7</v>
      </c>
      <c r="P9" t="str">
        <f t="shared" si="1"/>
        <v/>
      </c>
      <c r="Q9" t="str">
        <f>IF(AND(R9="Pos",S9="Pos"),"TP",IF(AND(R9="Neg",S9="Neg",P9=1),"TN",IF(AND(R9="Pos",S9="Neg"),"FN",IF(AND(R9="Neg",S9="Neg",P9=""),"FP","UNK"))))</f>
        <v>FP</v>
      </c>
      <c r="R9" s="2" t="s">
        <v>37</v>
      </c>
      <c r="S9" t="str">
        <f>IF(AND(M9&gt;=global_runs!$D$2,per_question!F9=FALSE),"Pos",IF(AND(M9&lt;global_runs!$D$2,per_question!F9=FALSE),"Neg",IF(per_question!F9=TRUE,"Neg","Unknown")))</f>
        <v>Neg</v>
      </c>
      <c r="T9" s="2">
        <v>0.6</v>
      </c>
      <c r="U9" s="2" t="s">
        <v>47</v>
      </c>
      <c r="V9" s="2" t="s">
        <v>48</v>
      </c>
    </row>
    <row r="10" spans="1:22" x14ac:dyDescent="0.3">
      <c r="A10" s="2" t="s">
        <v>22</v>
      </c>
      <c r="B10" s="2" t="s">
        <v>23</v>
      </c>
      <c r="C10" s="2" t="s">
        <v>24</v>
      </c>
      <c r="D10" s="2">
        <v>9</v>
      </c>
      <c r="E10" s="2" t="b">
        <v>0</v>
      </c>
      <c r="F10" s="2" t="b">
        <v>1</v>
      </c>
      <c r="G10" s="2" t="s">
        <v>42</v>
      </c>
      <c r="H10">
        <f>COUNTIF(per_item!$D$2:$D$108,per_question!D10)</f>
        <v>0</v>
      </c>
      <c r="I10" t="str">
        <f>IF(H10=0,"",SUMIF(per_item!$D$2:$D$108,per_question!D10,per_item!$I$2:$I$108)/per_question!H10)</f>
        <v/>
      </c>
      <c r="M10" t="str">
        <f>IF(H10=0,"",SUMIF(per_item!$D$2:$D$108,per_question!D10,per_item!$J$2:$J$108)/per_question!H10)</f>
        <v/>
      </c>
      <c r="N10">
        <v>0</v>
      </c>
      <c r="O10">
        <v>0</v>
      </c>
      <c r="P10">
        <f t="shared" si="1"/>
        <v>1</v>
      </c>
      <c r="Q10" t="str">
        <f t="shared" ref="Q10:Q30" si="2">IF(AND(R10="Pos",S10="Pos"),"TP",IF(AND(R10="Neg",S10="Neg",P10=1),"TN",IF(AND(R10="Pos",S10="Neg"),"FN",IF(AND(R10="Neg",S10="Neg",P10=""),"FP","UNK"))))</f>
        <v>TN</v>
      </c>
      <c r="R10" s="2" t="s">
        <v>37</v>
      </c>
      <c r="S10" t="str">
        <f>IF(AND(M10&gt;=global_runs!$D$2,per_question!F10=FALSE),"Pos",IF(AND(M10&lt;global_runs!$D$2,per_question!F10=FALSE),"Neg",IF(per_question!F10=TRUE,"Neg","Unknown")))</f>
        <v>Neg</v>
      </c>
      <c r="T10" s="2">
        <v>0.6</v>
      </c>
      <c r="U10" s="2" t="s">
        <v>49</v>
      </c>
      <c r="V10" s="2" t="s">
        <v>50</v>
      </c>
    </row>
    <row r="11" spans="1:22" x14ac:dyDescent="0.3">
      <c r="A11" s="2" t="s">
        <v>22</v>
      </c>
      <c r="B11" s="2" t="s">
        <v>23</v>
      </c>
      <c r="C11" s="2" t="s">
        <v>24</v>
      </c>
      <c r="D11" s="2">
        <v>10</v>
      </c>
      <c r="E11" s="2" t="b">
        <v>1</v>
      </c>
      <c r="F11" s="2" t="b">
        <v>0</v>
      </c>
      <c r="G11" s="2"/>
      <c r="H11">
        <f>COUNTIF(per_item!$D$2:$D$108,per_question!D11)</f>
        <v>5</v>
      </c>
      <c r="I11">
        <f>IF(H11=0,"",SUMIF(per_item!$D$2:$D$108,per_question!D11,per_item!$I$2:$I$108)/per_question!H11)</f>
        <v>0.66666666666666663</v>
      </c>
      <c r="J11">
        <v>1</v>
      </c>
      <c r="K11">
        <v>0.66666666666666663</v>
      </c>
      <c r="L11">
        <v>0.8</v>
      </c>
      <c r="M11">
        <f>IF(H11=0,"",SUMIF(per_item!$D$2:$D$108,per_question!D11,per_item!$J$2:$J$108)/per_question!H11)</f>
        <v>0</v>
      </c>
      <c r="N11">
        <v>15</v>
      </c>
      <c r="O11">
        <v>10</v>
      </c>
      <c r="P11" t="str">
        <f t="shared" si="1"/>
        <v/>
      </c>
      <c r="Q11" t="str">
        <f t="shared" si="2"/>
        <v>FN</v>
      </c>
      <c r="R11" s="2" t="s">
        <v>26</v>
      </c>
      <c r="S11" t="str">
        <f>IF(AND(M11&gt;=global_runs!$D$2,per_question!F11=FALSE),"Pos",IF(AND(M11&lt;global_runs!$D$2,per_question!F11=FALSE),"Neg",IF(per_question!F11=TRUE,"Neg","Unknown")))</f>
        <v>Neg</v>
      </c>
      <c r="T11" s="2">
        <v>0.6</v>
      </c>
      <c r="U11" s="2" t="s">
        <v>51</v>
      </c>
      <c r="V11" s="2" t="s">
        <v>52</v>
      </c>
    </row>
    <row r="12" spans="1:22" x14ac:dyDescent="0.3">
      <c r="A12" s="2" t="s">
        <v>22</v>
      </c>
      <c r="B12" s="2" t="s">
        <v>23</v>
      </c>
      <c r="C12" s="2" t="s">
        <v>24</v>
      </c>
      <c r="D12" s="2">
        <v>11</v>
      </c>
      <c r="E12" s="2" t="b">
        <v>1</v>
      </c>
      <c r="F12" s="2" t="b">
        <v>0</v>
      </c>
      <c r="G12" s="2"/>
      <c r="H12">
        <f>COUNTIF(per_item!$D$2:$D$108,per_question!D12)</f>
        <v>5</v>
      </c>
      <c r="I12">
        <f>IF(H12=0,"",SUMIF(per_item!$D$2:$D$108,per_question!D12,per_item!$I$2:$I$108)/per_question!H12)</f>
        <v>0.86666666666666659</v>
      </c>
      <c r="J12">
        <v>1</v>
      </c>
      <c r="K12">
        <v>0.8666666666666667</v>
      </c>
      <c r="L12">
        <v>0.9285714285714286</v>
      </c>
      <c r="M12">
        <f>IF(H12=0,"",SUMIF(per_item!$D$2:$D$108,per_question!D12,per_item!$J$2:$J$108)/per_question!H12)</f>
        <v>0.6</v>
      </c>
      <c r="N12">
        <v>15</v>
      </c>
      <c r="O12">
        <v>13</v>
      </c>
      <c r="P12" t="str">
        <f t="shared" si="1"/>
        <v/>
      </c>
      <c r="Q12" t="str">
        <f t="shared" si="2"/>
        <v>TP</v>
      </c>
      <c r="R12" s="2" t="s">
        <v>26</v>
      </c>
      <c r="S12" t="str">
        <f>IF(AND(M12&gt;=global_runs!$D$2,per_question!F12=FALSE),"Pos",IF(AND(M12&lt;global_runs!$D$2,per_question!F12=FALSE),"Neg",IF(per_question!F12=TRUE,"Neg","Unknown")))</f>
        <v>Pos</v>
      </c>
      <c r="T12" s="2">
        <v>0.6</v>
      </c>
      <c r="U12" s="2" t="s">
        <v>53</v>
      </c>
      <c r="V12" s="2" t="s">
        <v>54</v>
      </c>
    </row>
    <row r="13" spans="1:22" x14ac:dyDescent="0.3">
      <c r="A13" s="2" t="s">
        <v>22</v>
      </c>
      <c r="B13" s="2" t="s">
        <v>23</v>
      </c>
      <c r="C13" s="2" t="s">
        <v>24</v>
      </c>
      <c r="D13" s="2">
        <v>12</v>
      </c>
      <c r="E13" s="2" t="b">
        <v>1</v>
      </c>
      <c r="F13" s="2" t="b">
        <v>0</v>
      </c>
      <c r="G13" s="2"/>
      <c r="H13">
        <f>COUNTIF(per_item!$D$2:$D$108,per_question!D13)</f>
        <v>5</v>
      </c>
      <c r="I13">
        <f>IF(H13=0,"",SUMIF(per_item!$D$2:$D$108,per_question!D13,per_item!$I$2:$I$108)/per_question!H13)</f>
        <v>0.5</v>
      </c>
      <c r="J13">
        <v>1</v>
      </c>
      <c r="K13">
        <v>0.5</v>
      </c>
      <c r="L13">
        <v>0.66666666666666663</v>
      </c>
      <c r="M13">
        <f>IF(H13=0,"",SUMIF(per_item!$D$2:$D$108,per_question!D13,per_item!$J$2:$J$108)/per_question!H13)</f>
        <v>0</v>
      </c>
      <c r="N13">
        <v>10</v>
      </c>
      <c r="O13">
        <v>5</v>
      </c>
      <c r="P13" t="str">
        <f t="shared" si="1"/>
        <v/>
      </c>
      <c r="Q13" t="str">
        <f>IF(AND(R13="Pos",S13="Pos"),"TP",IF(AND(R13="Neg",S13="Neg",P13=1),"TN",IF(AND(R13="Pos",S13="Neg"),"FN",IF(AND(R13="Neg",S13="Neg",P13=""),"FP","UNK"))))</f>
        <v>FP</v>
      </c>
      <c r="R13" s="2" t="s">
        <v>37</v>
      </c>
      <c r="S13" t="str">
        <f>IF(AND(M13&gt;=global_runs!$D$2,per_question!F13=FALSE),"Pos",IF(AND(M13&lt;global_runs!$D$2,per_question!F13=FALSE),"Neg",IF(per_question!F13=TRUE,"Neg","Unknown")))</f>
        <v>Neg</v>
      </c>
      <c r="T13" s="2">
        <v>0.6</v>
      </c>
      <c r="U13" s="2" t="s">
        <v>55</v>
      </c>
      <c r="V13" s="2" t="s">
        <v>56</v>
      </c>
    </row>
    <row r="14" spans="1:22" x14ac:dyDescent="0.3">
      <c r="A14" s="2" t="s">
        <v>22</v>
      </c>
      <c r="B14" s="2" t="s">
        <v>23</v>
      </c>
      <c r="C14" s="2" t="s">
        <v>24</v>
      </c>
      <c r="D14" s="2">
        <v>13</v>
      </c>
      <c r="E14" s="2" t="b">
        <v>1</v>
      </c>
      <c r="F14" s="2" t="b">
        <v>0</v>
      </c>
      <c r="G14" s="2"/>
      <c r="H14">
        <f>COUNTIF(per_item!$D$2:$D$108,per_question!D14)</f>
        <v>5</v>
      </c>
      <c r="I14">
        <f>IF(H14=0,"",SUMIF(per_item!$D$2:$D$108,per_question!D14,per_item!$I$2:$I$108)/per_question!H14)</f>
        <v>0.9</v>
      </c>
      <c r="J14">
        <v>1</v>
      </c>
      <c r="K14">
        <v>0.9</v>
      </c>
      <c r="L14">
        <v>0.94736842105263153</v>
      </c>
      <c r="M14">
        <f>IF(H14=0,"",SUMIF(per_item!$D$2:$D$108,per_question!D14,per_item!$J$2:$J$108)/per_question!H14)</f>
        <v>0.4</v>
      </c>
      <c r="N14">
        <v>30</v>
      </c>
      <c r="O14">
        <v>27</v>
      </c>
      <c r="P14" t="str">
        <f t="shared" si="1"/>
        <v/>
      </c>
      <c r="Q14" t="str">
        <f t="shared" si="2"/>
        <v>FN</v>
      </c>
      <c r="R14" s="2" t="s">
        <v>26</v>
      </c>
      <c r="S14" t="str">
        <f>IF(AND(M14&gt;=global_runs!$D$2,per_question!F14=FALSE),"Pos",IF(AND(M14&lt;global_runs!$D$2,per_question!F14=FALSE),"Neg",IF(per_question!F14=TRUE,"Neg","Unknown")))</f>
        <v>Neg</v>
      </c>
      <c r="T14" s="2">
        <v>0.6</v>
      </c>
      <c r="U14" s="2" t="s">
        <v>57</v>
      </c>
      <c r="V14" s="2" t="s">
        <v>58</v>
      </c>
    </row>
    <row r="15" spans="1:22" x14ac:dyDescent="0.3">
      <c r="A15" s="2" t="s">
        <v>22</v>
      </c>
      <c r="B15" s="2" t="s">
        <v>23</v>
      </c>
      <c r="C15" s="2" t="s">
        <v>24</v>
      </c>
      <c r="D15" s="2">
        <v>14</v>
      </c>
      <c r="E15" s="2" t="b">
        <v>1</v>
      </c>
      <c r="F15" s="2" t="b">
        <v>0</v>
      </c>
      <c r="G15" s="2"/>
      <c r="H15">
        <f>COUNTIF(per_item!$D$2:$D$108,per_question!D15)</f>
        <v>5</v>
      </c>
      <c r="I15">
        <f>IF(H15=0,"",SUMIF(per_item!$D$2:$D$108,per_question!D15,per_item!$I$2:$I$108)/per_question!H15)</f>
        <v>0.86666666666666681</v>
      </c>
      <c r="J15">
        <v>1</v>
      </c>
      <c r="K15">
        <v>0.8666666666666667</v>
      </c>
      <c r="L15">
        <v>0.9285714285714286</v>
      </c>
      <c r="M15">
        <f>IF(H15=0,"",SUMIF(per_item!$D$2:$D$108,per_question!D15,per_item!$J$2:$J$108)/per_question!H15)</f>
        <v>0.2</v>
      </c>
      <c r="N15">
        <v>30</v>
      </c>
      <c r="O15">
        <v>26</v>
      </c>
      <c r="P15" t="str">
        <f t="shared" si="1"/>
        <v/>
      </c>
      <c r="Q15" t="str">
        <f>IF(AND(R15="Pos",S15="Pos"),"TP",IF(AND(R15="Neg",S15="Neg",P15=1),"TN",IF(AND(R15="Pos",S15="Neg"),"FN",IF(AND(R15="Neg",S15="Neg",P15=""),"FP","UNK"))))</f>
        <v>FN</v>
      </c>
      <c r="R15" s="2" t="s">
        <v>26</v>
      </c>
      <c r="S15" t="str">
        <f>IF(AND(M15&gt;=global_runs!$D$2,per_question!F15=FALSE),"Pos",IF(AND(M15&lt;global_runs!$D$2,per_question!F15=FALSE),"Neg",IF(per_question!F15=TRUE,"Neg","Unknown")))</f>
        <v>Neg</v>
      </c>
      <c r="T15" s="2">
        <v>0.6</v>
      </c>
      <c r="U15" s="2" t="s">
        <v>59</v>
      </c>
      <c r="V15" s="2" t="s">
        <v>60</v>
      </c>
    </row>
    <row r="16" spans="1:22" x14ac:dyDescent="0.3">
      <c r="A16" s="2" t="s">
        <v>22</v>
      </c>
      <c r="B16" s="2" t="s">
        <v>23</v>
      </c>
      <c r="C16" s="2" t="s">
        <v>24</v>
      </c>
      <c r="D16" s="2">
        <v>15</v>
      </c>
      <c r="E16" s="2" t="b">
        <v>1</v>
      </c>
      <c r="F16" s="2" t="b">
        <v>0</v>
      </c>
      <c r="G16" s="2"/>
      <c r="H16">
        <f>COUNTIF(per_item!$D$2:$D$108,per_question!D16)</f>
        <v>5</v>
      </c>
      <c r="I16">
        <f>IF(H16=0,"",SUMIF(per_item!$D$2:$D$108,per_question!D16,per_item!$I$2:$I$108)/per_question!H16)</f>
        <v>0.86666666666666681</v>
      </c>
      <c r="J16">
        <v>1</v>
      </c>
      <c r="K16">
        <v>0.8666666666666667</v>
      </c>
      <c r="L16">
        <v>0.9285714285714286</v>
      </c>
      <c r="M16">
        <f>IF(H16=0,"",SUMIF(per_item!$D$2:$D$108,per_question!D16,per_item!$J$2:$J$108)/per_question!H16)</f>
        <v>0.2</v>
      </c>
      <c r="N16">
        <v>30</v>
      </c>
      <c r="O16">
        <v>26</v>
      </c>
      <c r="P16" t="str">
        <f t="shared" si="1"/>
        <v/>
      </c>
      <c r="Q16" t="str">
        <f t="shared" si="2"/>
        <v>FN</v>
      </c>
      <c r="R16" s="2" t="s">
        <v>26</v>
      </c>
      <c r="S16" t="str">
        <f>IF(AND(M16&gt;=global_runs!$D$2,per_question!F16=FALSE),"Pos",IF(AND(M16&lt;global_runs!$D$2,per_question!F16=FALSE),"Neg",IF(per_question!F16=TRUE,"Neg","Unknown")))</f>
        <v>Neg</v>
      </c>
      <c r="T16" s="2">
        <v>0.6</v>
      </c>
      <c r="U16" s="2" t="s">
        <v>61</v>
      </c>
      <c r="V16" s="2" t="s">
        <v>62</v>
      </c>
    </row>
    <row r="17" spans="1:22" x14ac:dyDescent="0.3">
      <c r="A17" s="2" t="s">
        <v>22</v>
      </c>
      <c r="B17" s="2" t="s">
        <v>23</v>
      </c>
      <c r="C17" s="2" t="s">
        <v>24</v>
      </c>
      <c r="D17" s="2">
        <v>16</v>
      </c>
      <c r="E17" s="2" t="b">
        <v>1</v>
      </c>
      <c r="F17" s="2" t="b">
        <v>0</v>
      </c>
      <c r="G17" s="2"/>
      <c r="H17">
        <f>COUNTIF(per_item!$D$2:$D$108,per_question!D17)</f>
        <v>1</v>
      </c>
      <c r="I17">
        <f>IF(H17=0,"",SUMIF(per_item!$D$2:$D$108,per_question!D17,per_item!$I$2:$I$108)/per_question!H17)</f>
        <v>0.5714285714285714</v>
      </c>
      <c r="J17">
        <v>1</v>
      </c>
      <c r="K17">
        <v>0.5714285714285714</v>
      </c>
      <c r="L17">
        <v>0.72727272727272729</v>
      </c>
      <c r="M17">
        <f>IF(H17=0,"",SUMIF(per_item!$D$2:$D$108,per_question!D17,per_item!$J$2:$J$108)/per_question!H17)</f>
        <v>0</v>
      </c>
      <c r="N17">
        <v>7</v>
      </c>
      <c r="O17">
        <v>4</v>
      </c>
      <c r="P17" t="str">
        <f t="shared" si="1"/>
        <v/>
      </c>
      <c r="Q17" t="str">
        <f>IF(AND(R17="Pos",S17="Pos"),"TP",IF(AND(R17="Neg",S17="Neg",P17=1),"TN",IF(AND(R17="Pos",S17="Neg"),"FN",IF(AND(R17="Neg",S17="Neg",P17=""),"FP","UNK"))))</f>
        <v>FN</v>
      </c>
      <c r="R17" s="2" t="s">
        <v>26</v>
      </c>
      <c r="S17" t="str">
        <f>IF(AND(M17&gt;=global_runs!$D$2,per_question!F17=FALSE),"Pos",IF(AND(M17&lt;global_runs!$D$2,per_question!F17=FALSE),"Neg",IF(per_question!F17=TRUE,"Neg","Unknown")))</f>
        <v>Neg</v>
      </c>
      <c r="T17" s="2">
        <v>0.6</v>
      </c>
      <c r="U17" s="2" t="s">
        <v>63</v>
      </c>
      <c r="V17" s="2" t="s">
        <v>64</v>
      </c>
    </row>
    <row r="18" spans="1:22" x14ac:dyDescent="0.3">
      <c r="A18" s="2" t="s">
        <v>22</v>
      </c>
      <c r="B18" s="2" t="s">
        <v>23</v>
      </c>
      <c r="C18" s="2" t="s">
        <v>24</v>
      </c>
      <c r="D18" s="2">
        <v>17</v>
      </c>
      <c r="E18" s="2" t="b">
        <v>1</v>
      </c>
      <c r="F18" s="2" t="b">
        <v>0</v>
      </c>
      <c r="G18" s="2"/>
      <c r="H18">
        <f>COUNTIF(per_item!$D$2:$D$108,per_question!D18)</f>
        <v>5</v>
      </c>
      <c r="I18">
        <f>IF(H18=0,"",SUMIF(per_item!$D$2:$D$108,per_question!D18,per_item!$I$2:$I$108)/per_question!H18)</f>
        <v>0.74285714285714288</v>
      </c>
      <c r="J18">
        <v>1</v>
      </c>
      <c r="K18">
        <v>0.74285714285714288</v>
      </c>
      <c r="L18">
        <v>0.85245901639344257</v>
      </c>
      <c r="M18">
        <f>IF(H18=0,"",SUMIF(per_item!$D$2:$D$108,per_question!D18,per_item!$J$2:$J$108)/per_question!H18)</f>
        <v>0</v>
      </c>
      <c r="N18">
        <v>35</v>
      </c>
      <c r="O18">
        <v>26</v>
      </c>
      <c r="P18" t="str">
        <f t="shared" si="1"/>
        <v/>
      </c>
      <c r="Q18" t="str">
        <f t="shared" si="2"/>
        <v>FP</v>
      </c>
      <c r="R18" s="2" t="s">
        <v>37</v>
      </c>
      <c r="S18" t="str">
        <f>IF(AND(M18&gt;=global_runs!$D$2,per_question!F18=FALSE),"Pos",IF(AND(M18&lt;global_runs!$D$2,per_question!F18=FALSE),"Neg",IF(per_question!F18=TRUE,"Neg","Unknown")))</f>
        <v>Neg</v>
      </c>
      <c r="T18" s="2">
        <v>0.6</v>
      </c>
      <c r="U18" s="2" t="s">
        <v>65</v>
      </c>
      <c r="V18" s="2" t="s">
        <v>66</v>
      </c>
    </row>
    <row r="19" spans="1:22" x14ac:dyDescent="0.3">
      <c r="A19" s="2" t="s">
        <v>22</v>
      </c>
      <c r="B19" s="2" t="s">
        <v>23</v>
      </c>
      <c r="C19" s="2" t="s">
        <v>24</v>
      </c>
      <c r="D19" s="2">
        <v>18</v>
      </c>
      <c r="E19" s="2" t="b">
        <v>0</v>
      </c>
      <c r="F19" s="2" t="b">
        <v>1</v>
      </c>
      <c r="G19" s="2" t="s">
        <v>35</v>
      </c>
      <c r="H19">
        <f>COUNTIF(per_item!$D$2:$D$108,per_question!D19)</f>
        <v>0</v>
      </c>
      <c r="I19" t="str">
        <f>IF(H19=0,"",SUMIF(per_item!$D$2:$D$108,per_question!D19,per_item!$I$2:$I$108)/per_question!H19)</f>
        <v/>
      </c>
      <c r="M19" t="str">
        <f>IF(H19=0,"",SUMIF(per_item!$D$2:$D$108,per_question!D19,per_item!$J$2:$J$108)/per_question!H19)</f>
        <v/>
      </c>
      <c r="N19">
        <v>0</v>
      </c>
      <c r="O19">
        <v>0</v>
      </c>
      <c r="P19">
        <f t="shared" si="1"/>
        <v>0</v>
      </c>
      <c r="Q19" t="str">
        <f t="shared" si="2"/>
        <v>FN</v>
      </c>
      <c r="R19" s="2" t="s">
        <v>26</v>
      </c>
      <c r="S19" t="str">
        <f>IF(AND(M19&gt;=global_runs!$D$2,per_question!F19=FALSE),"Pos",IF(AND(M19&lt;global_runs!$D$2,per_question!F19=FALSE),"Neg",IF(per_question!F19=TRUE,"Neg","Unknown")))</f>
        <v>Neg</v>
      </c>
      <c r="T19" s="2">
        <v>0.6</v>
      </c>
      <c r="U19" s="2" t="s">
        <v>67</v>
      </c>
      <c r="V19" s="2" t="s">
        <v>68</v>
      </c>
    </row>
    <row r="20" spans="1:22" x14ac:dyDescent="0.3">
      <c r="A20" s="2" t="s">
        <v>22</v>
      </c>
      <c r="B20" s="2" t="s">
        <v>23</v>
      </c>
      <c r="C20" s="2" t="s">
        <v>24</v>
      </c>
      <c r="D20" s="2">
        <v>19</v>
      </c>
      <c r="E20" s="2" t="b">
        <v>1</v>
      </c>
      <c r="F20" s="2" t="b">
        <v>0</v>
      </c>
      <c r="G20" s="2"/>
      <c r="H20">
        <f>COUNTIF(per_item!$D$2:$D$108,per_question!D20)</f>
        <v>2</v>
      </c>
      <c r="I20">
        <f>IF(H20=0,"",SUMIF(per_item!$D$2:$D$108,per_question!D20,per_item!$I$2:$I$108)/per_question!H20)</f>
        <v>1</v>
      </c>
      <c r="J20">
        <v>1</v>
      </c>
      <c r="K20">
        <v>1</v>
      </c>
      <c r="L20">
        <v>1</v>
      </c>
      <c r="M20">
        <f>IF(H20=0,"",SUMIF(per_item!$D$2:$D$108,per_question!D20,per_item!$J$2:$J$108)/per_question!H20)</f>
        <v>1</v>
      </c>
      <c r="N20">
        <v>4</v>
      </c>
      <c r="O20">
        <v>4</v>
      </c>
      <c r="P20" t="str">
        <f t="shared" si="1"/>
        <v/>
      </c>
      <c r="Q20" t="str">
        <f>IF(AND(R20="Pos",S20="Pos"),"TP",IF(AND(R20="Neg",S20="Neg",P20=1),"TN",IF(AND(R20="Pos",S20="Neg"),"FN",IF(AND(R20="Neg",S20="Neg",P20=""),"FP","UNK"))))</f>
        <v>TP</v>
      </c>
      <c r="R20" s="2" t="s">
        <v>26</v>
      </c>
      <c r="S20" t="str">
        <f>IF(AND(M20&gt;=global_runs!$D$2,per_question!F20=FALSE),"Pos",IF(AND(M20&lt;global_runs!$D$2,per_question!F20=FALSE),"Neg",IF(per_question!F20=TRUE,"Neg","Unknown")))</f>
        <v>Pos</v>
      </c>
      <c r="T20" s="2">
        <v>0.6</v>
      </c>
      <c r="U20" s="2" t="s">
        <v>69</v>
      </c>
      <c r="V20" s="2" t="s">
        <v>70</v>
      </c>
    </row>
    <row r="21" spans="1:22" x14ac:dyDescent="0.3">
      <c r="A21" s="2" t="s">
        <v>22</v>
      </c>
      <c r="B21" s="2" t="s">
        <v>23</v>
      </c>
      <c r="C21" s="2" t="s">
        <v>24</v>
      </c>
      <c r="D21" s="2">
        <v>20</v>
      </c>
      <c r="E21" s="2" t="b">
        <v>1</v>
      </c>
      <c r="F21" s="2" t="b">
        <v>0</v>
      </c>
      <c r="G21" s="2"/>
      <c r="H21">
        <f>COUNTIF(per_item!$D$2:$D$108,per_question!D21)</f>
        <v>5</v>
      </c>
      <c r="I21">
        <f>IF(H21=0,"",SUMIF(per_item!$D$2:$D$108,per_question!D21,per_item!$I$2:$I$108)/per_question!H21)</f>
        <v>0.6</v>
      </c>
      <c r="J21">
        <v>1</v>
      </c>
      <c r="K21">
        <v>0.6</v>
      </c>
      <c r="L21">
        <v>0.75</v>
      </c>
      <c r="M21">
        <f>IF(H21=0,"",SUMIF(per_item!$D$2:$D$108,per_question!D21,per_item!$J$2:$J$108)/per_question!H21)</f>
        <v>0.2</v>
      </c>
      <c r="N21">
        <v>10</v>
      </c>
      <c r="O21">
        <v>6</v>
      </c>
      <c r="P21" t="str">
        <f t="shared" si="1"/>
        <v/>
      </c>
      <c r="Q21" t="str">
        <f t="shared" si="2"/>
        <v>FN</v>
      </c>
      <c r="R21" s="2" t="s">
        <v>26</v>
      </c>
      <c r="S21" t="str">
        <f>IF(AND(M21&gt;=global_runs!$D$2,per_question!F21=FALSE),"Pos",IF(AND(M21&lt;global_runs!$D$2,per_question!F21=FALSE),"Neg",IF(per_question!F21=TRUE,"Neg","Unknown")))</f>
        <v>Neg</v>
      </c>
      <c r="T21" s="2">
        <v>0.6</v>
      </c>
      <c r="U21" s="2" t="s">
        <v>71</v>
      </c>
      <c r="V21" s="2" t="s">
        <v>72</v>
      </c>
    </row>
    <row r="22" spans="1:22" x14ac:dyDescent="0.3">
      <c r="A22" s="2" t="s">
        <v>22</v>
      </c>
      <c r="B22" s="2" t="s">
        <v>23</v>
      </c>
      <c r="C22" s="2" t="s">
        <v>24</v>
      </c>
      <c r="D22" s="2">
        <v>21</v>
      </c>
      <c r="E22" s="2" t="b">
        <v>1</v>
      </c>
      <c r="F22" s="2" t="b">
        <v>0</v>
      </c>
      <c r="G22" s="2"/>
      <c r="H22">
        <f>COUNTIF(per_item!$D$2:$D$108,per_question!D22)</f>
        <v>2</v>
      </c>
      <c r="I22">
        <f>IF(H22=0,"",SUMIF(per_item!$D$2:$D$108,per_question!D22,per_item!$I$2:$I$108)/per_question!H22)</f>
        <v>0.5</v>
      </c>
      <c r="J22">
        <v>1</v>
      </c>
      <c r="K22">
        <v>0.5</v>
      </c>
      <c r="L22">
        <v>0.66666666666666663</v>
      </c>
      <c r="M22">
        <f>IF(H22=0,"",SUMIF(per_item!$D$2:$D$108,per_question!D22,per_item!$J$2:$J$108)/per_question!H22)</f>
        <v>0.5</v>
      </c>
      <c r="N22">
        <v>2</v>
      </c>
      <c r="O22">
        <v>1</v>
      </c>
      <c r="P22" t="str">
        <f t="shared" si="1"/>
        <v/>
      </c>
      <c r="Q22" t="str">
        <f t="shared" si="2"/>
        <v>FN</v>
      </c>
      <c r="R22" s="2" t="s">
        <v>26</v>
      </c>
      <c r="S22" t="str">
        <f>IF(AND(M22&gt;=global_runs!$D$2,per_question!F22=FALSE),"Pos",IF(AND(M22&lt;global_runs!$D$2,per_question!F22=FALSE),"Neg",IF(per_question!F22=TRUE,"Neg","Unknown")))</f>
        <v>Neg</v>
      </c>
      <c r="T22" s="2">
        <v>0.6</v>
      </c>
      <c r="U22" s="2" t="s">
        <v>73</v>
      </c>
      <c r="V22" s="2" t="s">
        <v>74</v>
      </c>
    </row>
    <row r="23" spans="1:22" x14ac:dyDescent="0.3">
      <c r="A23" s="2" t="s">
        <v>22</v>
      </c>
      <c r="B23" s="2" t="s">
        <v>23</v>
      </c>
      <c r="C23" s="2" t="s">
        <v>24</v>
      </c>
      <c r="D23" s="2">
        <v>22</v>
      </c>
      <c r="E23" s="2" t="b">
        <v>1</v>
      </c>
      <c r="F23" s="2" t="b">
        <v>0</v>
      </c>
      <c r="G23" s="2"/>
      <c r="H23">
        <f>COUNTIF(per_item!$D$2:$D$108,per_question!D23)</f>
        <v>5</v>
      </c>
      <c r="I23">
        <f>IF(H23=0,"",SUMIF(per_item!$D$2:$D$108,per_question!D23,per_item!$I$2:$I$108)/per_question!H23)</f>
        <v>1</v>
      </c>
      <c r="J23">
        <v>1</v>
      </c>
      <c r="K23">
        <v>0.2</v>
      </c>
      <c r="L23">
        <v>0.33333333333333331</v>
      </c>
      <c r="M23">
        <f>IF(H23=0,"",SUMIF(per_item!$D$2:$D$108,per_question!D23,per_item!$J$2:$J$108)/per_question!H23)</f>
        <v>1</v>
      </c>
      <c r="N23">
        <v>5</v>
      </c>
      <c r="O23">
        <v>1</v>
      </c>
      <c r="P23" t="str">
        <f t="shared" si="1"/>
        <v/>
      </c>
      <c r="Q23" t="str">
        <f>IF(AND(R23="Pos",S23="Pos"),"TP",IF(AND(R23="Neg",S23="Neg",P23=1),"TN",IF(AND(R23="Pos",S23="Neg"),"FN",IF(AND(R23="Neg",S23="Neg",P23=""),"FP","UNK"))))</f>
        <v>TP</v>
      </c>
      <c r="R23" s="2" t="s">
        <v>26</v>
      </c>
      <c r="S23" t="str">
        <f>IF(AND(M23&gt;=global_runs!$D$2,per_question!F23=FALSE),"Pos",IF(AND(M23&lt;global_runs!$D$2,per_question!F23=FALSE),"Neg",IF(per_question!F23=TRUE,"Neg","Unknown")))</f>
        <v>Pos</v>
      </c>
      <c r="T23" s="2">
        <v>0.6</v>
      </c>
      <c r="U23" s="2" t="s">
        <v>75</v>
      </c>
      <c r="V23" s="2" t="s">
        <v>76</v>
      </c>
    </row>
    <row r="24" spans="1:22" x14ac:dyDescent="0.3">
      <c r="A24" s="2" t="s">
        <v>22</v>
      </c>
      <c r="B24" s="2" t="s">
        <v>23</v>
      </c>
      <c r="C24" s="2" t="s">
        <v>24</v>
      </c>
      <c r="D24" s="2">
        <v>23</v>
      </c>
      <c r="E24" s="2" t="b">
        <v>1</v>
      </c>
      <c r="F24" s="2" t="b">
        <v>0</v>
      </c>
      <c r="G24" s="2"/>
      <c r="H24">
        <f>COUNTIF(per_item!$D$2:$D$108,per_question!D24)</f>
        <v>5</v>
      </c>
      <c r="I24">
        <f>IF(H24=0,"",SUMIF(per_item!$D$2:$D$108,per_question!D24,per_item!$I$2:$I$108)/per_question!H24)</f>
        <v>0.6</v>
      </c>
      <c r="J24">
        <v>1</v>
      </c>
      <c r="K24">
        <v>0.6</v>
      </c>
      <c r="L24">
        <v>0.75</v>
      </c>
      <c r="M24">
        <f>IF(H24=0,"",SUMIF(per_item!$D$2:$D$108,per_question!D24,per_item!$J$2:$J$108)/per_question!H24)</f>
        <v>0.6</v>
      </c>
      <c r="N24">
        <v>5</v>
      </c>
      <c r="O24">
        <v>3</v>
      </c>
      <c r="P24" t="str">
        <f t="shared" si="1"/>
        <v/>
      </c>
      <c r="Q24" t="str">
        <f t="shared" si="2"/>
        <v>TP</v>
      </c>
      <c r="R24" s="2" t="s">
        <v>26</v>
      </c>
      <c r="S24" t="str">
        <f>IF(AND(M24&gt;=global_runs!$D$2,per_question!F24=FALSE),"Pos",IF(AND(M24&lt;global_runs!$D$2,per_question!F24=FALSE),"Neg",IF(per_question!F24=TRUE,"Neg","Unknown")))</f>
        <v>Pos</v>
      </c>
      <c r="T24" s="2">
        <v>0.6</v>
      </c>
      <c r="U24" s="2" t="s">
        <v>77</v>
      </c>
      <c r="V24" s="2" t="s">
        <v>78</v>
      </c>
    </row>
    <row r="25" spans="1:22" x14ac:dyDescent="0.3">
      <c r="A25" s="2" t="s">
        <v>22</v>
      </c>
      <c r="B25" s="2" t="s">
        <v>23</v>
      </c>
      <c r="C25" s="2" t="s">
        <v>24</v>
      </c>
      <c r="D25" s="2">
        <v>24</v>
      </c>
      <c r="E25" s="2" t="b">
        <v>1</v>
      </c>
      <c r="F25" s="2" t="b">
        <v>0</v>
      </c>
      <c r="G25" s="2"/>
      <c r="H25">
        <f>COUNTIF(per_item!$D$2:$D$108,per_question!D25)</f>
        <v>5</v>
      </c>
      <c r="I25">
        <f>IF(H25=0,"",SUMIF(per_item!$D$2:$D$108,per_question!D25,per_item!$I$2:$I$108)/per_question!H25)</f>
        <v>1</v>
      </c>
      <c r="J25">
        <v>1</v>
      </c>
      <c r="K25">
        <v>0.4</v>
      </c>
      <c r="L25">
        <v>0.5714285714285714</v>
      </c>
      <c r="M25">
        <f>IF(H25=0,"",SUMIF(per_item!$D$2:$D$108,per_question!D25,per_item!$J$2:$J$108)/per_question!H25)</f>
        <v>1</v>
      </c>
      <c r="N25">
        <v>5</v>
      </c>
      <c r="O25">
        <v>2</v>
      </c>
      <c r="P25" t="str">
        <f t="shared" si="1"/>
        <v/>
      </c>
      <c r="Q25" t="str">
        <f t="shared" si="2"/>
        <v>TP</v>
      </c>
      <c r="R25" s="2" t="s">
        <v>26</v>
      </c>
      <c r="S25" t="str">
        <f>IF(AND(M25&gt;=global_runs!$D$2,per_question!F25=FALSE),"Pos",IF(AND(M25&lt;global_runs!$D$2,per_question!F25=FALSE),"Neg",IF(per_question!F25=TRUE,"Neg","Unknown")))</f>
        <v>Pos</v>
      </c>
      <c r="T25" s="2">
        <v>0.6</v>
      </c>
      <c r="U25" s="2" t="s">
        <v>79</v>
      </c>
      <c r="V25" s="2" t="s">
        <v>80</v>
      </c>
    </row>
    <row r="26" spans="1:22" x14ac:dyDescent="0.3">
      <c r="A26" s="2" t="s">
        <v>22</v>
      </c>
      <c r="B26" s="2" t="s">
        <v>23</v>
      </c>
      <c r="C26" s="2" t="s">
        <v>24</v>
      </c>
      <c r="D26" s="2">
        <v>25</v>
      </c>
      <c r="E26" s="2" t="b">
        <v>1</v>
      </c>
      <c r="F26" s="2" t="b">
        <v>0</v>
      </c>
      <c r="G26" s="2"/>
      <c r="H26">
        <f>COUNTIF(per_item!$D$2:$D$108,per_question!D26)</f>
        <v>5</v>
      </c>
      <c r="I26">
        <f>IF(H26=0,"",SUMIF(per_item!$D$2:$D$108,per_question!D26,per_item!$I$2:$I$108)/per_question!H26)</f>
        <v>0.8</v>
      </c>
      <c r="J26">
        <v>1</v>
      </c>
      <c r="K26">
        <v>0.8</v>
      </c>
      <c r="L26">
        <v>0.88888888888888884</v>
      </c>
      <c r="M26">
        <f>IF(H26=0,"",SUMIF(per_item!$D$2:$D$108,per_question!D26,per_item!$J$2:$J$108)/per_question!H26)</f>
        <v>0.8</v>
      </c>
      <c r="N26">
        <v>5</v>
      </c>
      <c r="O26">
        <v>4</v>
      </c>
      <c r="P26" t="str">
        <f t="shared" si="1"/>
        <v/>
      </c>
      <c r="Q26" t="str">
        <f t="shared" si="2"/>
        <v>TP</v>
      </c>
      <c r="R26" s="2" t="s">
        <v>26</v>
      </c>
      <c r="S26" t="str">
        <f>IF(AND(M26&gt;=global_runs!$D$2,per_question!F26=FALSE),"Pos",IF(AND(M26&lt;global_runs!$D$2,per_question!F26=FALSE),"Neg",IF(per_question!F26=TRUE,"Neg","Unknown")))</f>
        <v>Pos</v>
      </c>
      <c r="T26" s="2">
        <v>0.6</v>
      </c>
      <c r="U26" s="2" t="s">
        <v>81</v>
      </c>
      <c r="V26" s="2" t="s">
        <v>82</v>
      </c>
    </row>
    <row r="27" spans="1:22" x14ac:dyDescent="0.3">
      <c r="A27" s="2" t="s">
        <v>22</v>
      </c>
      <c r="B27" s="2" t="s">
        <v>23</v>
      </c>
      <c r="C27" s="2" t="s">
        <v>24</v>
      </c>
      <c r="D27" s="2">
        <v>26</v>
      </c>
      <c r="E27" s="2" t="b">
        <v>1</v>
      </c>
      <c r="F27" s="2" t="b">
        <v>0</v>
      </c>
      <c r="G27" s="2"/>
      <c r="H27">
        <f>COUNTIF(per_item!$D$2:$D$108,per_question!D27)</f>
        <v>5</v>
      </c>
      <c r="I27">
        <f>IF(H27=0,"",SUMIF(per_item!$D$2:$D$108,per_question!D27,per_item!$I$2:$I$108)/per_question!H27)</f>
        <v>0.8</v>
      </c>
      <c r="J27">
        <v>1</v>
      </c>
      <c r="K27">
        <v>0.6</v>
      </c>
      <c r="L27">
        <v>0.75</v>
      </c>
      <c r="M27">
        <f>IF(H27=0,"",SUMIF(per_item!$D$2:$D$108,per_question!D27,per_item!$J$2:$J$108)/per_question!H27)</f>
        <v>0.6</v>
      </c>
      <c r="N27">
        <v>10</v>
      </c>
      <c r="O27">
        <v>6</v>
      </c>
      <c r="P27" t="str">
        <f t="shared" si="1"/>
        <v/>
      </c>
      <c r="Q27" t="str">
        <f>IF(AND(R27="Pos",S27="Pos"),"TP",IF(AND(R27="Neg",S27="Neg",P27=1),"TN",IF(AND(R27="Pos",S27="Neg"),"FN",IF(AND(R27="Neg",S27="Neg",P27=""),"FP","UNK"))))</f>
        <v>TP</v>
      </c>
      <c r="R27" s="2" t="s">
        <v>26</v>
      </c>
      <c r="S27" t="str">
        <f>IF(AND(M27&gt;=global_runs!$D$2,per_question!F27=FALSE),"Pos",IF(AND(M27&lt;global_runs!$D$2,per_question!F27=FALSE),"Neg",IF(per_question!F27=TRUE,"Neg","Unknown")))</f>
        <v>Pos</v>
      </c>
      <c r="T27" s="2">
        <v>0.6</v>
      </c>
      <c r="U27" s="2" t="s">
        <v>83</v>
      </c>
      <c r="V27" s="2" t="s">
        <v>84</v>
      </c>
    </row>
    <row r="28" spans="1:22" x14ac:dyDescent="0.3">
      <c r="A28" s="2" t="s">
        <v>22</v>
      </c>
      <c r="B28" s="2" t="s">
        <v>23</v>
      </c>
      <c r="C28" s="2" t="s">
        <v>24</v>
      </c>
      <c r="D28" s="2">
        <v>27</v>
      </c>
      <c r="E28" s="2" t="b">
        <v>1</v>
      </c>
      <c r="F28" s="2" t="b">
        <v>0</v>
      </c>
      <c r="G28" s="2"/>
      <c r="H28">
        <f>COUNTIF(per_item!$D$2:$D$108,per_question!D28)</f>
        <v>2</v>
      </c>
      <c r="I28">
        <f>IF(H28=0,"",SUMIF(per_item!$D$2:$D$108,per_question!D28,per_item!$I$2:$I$108)/per_question!H28)</f>
        <v>0.75</v>
      </c>
      <c r="J28">
        <v>1</v>
      </c>
      <c r="K28">
        <v>0.75</v>
      </c>
      <c r="L28">
        <v>0.8571428571428571</v>
      </c>
      <c r="M28">
        <f>IF(H28=0,"",SUMIF(per_item!$D$2:$D$108,per_question!D28,per_item!$J$2:$J$108)/per_question!H28)</f>
        <v>0.5</v>
      </c>
      <c r="N28">
        <v>4</v>
      </c>
      <c r="O28">
        <v>3</v>
      </c>
      <c r="P28" t="str">
        <f t="shared" si="1"/>
        <v/>
      </c>
      <c r="Q28" t="str">
        <f t="shared" si="2"/>
        <v>FN</v>
      </c>
      <c r="R28" s="2" t="s">
        <v>26</v>
      </c>
      <c r="S28" t="str">
        <f>IF(AND(M28&gt;=global_runs!$D$2,per_question!F28=FALSE),"Pos",IF(AND(M28&lt;global_runs!$D$2,per_question!F28=FALSE),"Neg",IF(per_question!F28=TRUE,"Neg","Unknown")))</f>
        <v>Neg</v>
      </c>
      <c r="T28" s="2">
        <v>0.6</v>
      </c>
      <c r="U28" s="2" t="s">
        <v>85</v>
      </c>
      <c r="V28" s="2" t="s">
        <v>86</v>
      </c>
    </row>
    <row r="29" spans="1:22" x14ac:dyDescent="0.3">
      <c r="A29" s="2" t="s">
        <v>22</v>
      </c>
      <c r="B29" s="2" t="s">
        <v>23</v>
      </c>
      <c r="C29" s="2" t="s">
        <v>24</v>
      </c>
      <c r="D29" s="2">
        <v>28</v>
      </c>
      <c r="E29" s="2" t="b">
        <v>1</v>
      </c>
      <c r="F29" s="2" t="b">
        <v>0</v>
      </c>
      <c r="G29" s="2"/>
      <c r="H29">
        <f>COUNTIF(per_item!$D$2:$D$108,per_question!D29)</f>
        <v>5</v>
      </c>
      <c r="I29">
        <f>IF(H29=0,"",SUMIF(per_item!$D$2:$D$108,per_question!D29,per_item!$I$2:$I$108)/per_question!H29)</f>
        <v>1</v>
      </c>
      <c r="J29">
        <v>1</v>
      </c>
      <c r="K29">
        <v>1</v>
      </c>
      <c r="L29">
        <v>1</v>
      </c>
      <c r="M29">
        <f>IF(H29=0,"",SUMIF(per_item!$D$2:$D$108,per_question!D29,per_item!$J$2:$J$108)/per_question!H29)</f>
        <v>1</v>
      </c>
      <c r="N29">
        <v>10</v>
      </c>
      <c r="O29">
        <v>10</v>
      </c>
      <c r="P29" t="str">
        <f t="shared" si="1"/>
        <v/>
      </c>
      <c r="Q29" t="str">
        <f>IF(AND(R29="Pos",S29="Pos"),"TP",IF(AND(R29="Neg",S29="Neg",P29=1),"TN",IF(AND(R29="Pos",S29="Neg"),"FN",IF(AND(R29="Neg",S29="Neg",P29=""),"FP","UNK"))))</f>
        <v>TP</v>
      </c>
      <c r="R29" s="2" t="s">
        <v>26</v>
      </c>
      <c r="S29" t="str">
        <f>IF(AND(M29&gt;=global_runs!$D$2,per_question!F29=FALSE),"Pos",IF(AND(M29&lt;global_runs!$D$2,per_question!F29=FALSE),"Neg",IF(per_question!F29=TRUE,"Neg","Unknown")))</f>
        <v>Pos</v>
      </c>
      <c r="T29" s="2">
        <v>0.6</v>
      </c>
      <c r="U29" s="2" t="s">
        <v>87</v>
      </c>
      <c r="V29" s="2" t="s">
        <v>88</v>
      </c>
    </row>
    <row r="30" spans="1:22" x14ac:dyDescent="0.3">
      <c r="A30" s="2" t="s">
        <v>22</v>
      </c>
      <c r="B30" s="2" t="s">
        <v>23</v>
      </c>
      <c r="C30" s="2" t="s">
        <v>24</v>
      </c>
      <c r="D30" s="2">
        <v>29</v>
      </c>
      <c r="E30" s="2" t="b">
        <v>1</v>
      </c>
      <c r="F30" s="2" t="b">
        <v>0</v>
      </c>
      <c r="G30" s="2"/>
      <c r="H30">
        <f>COUNTIF(per_item!$D$2:$D$108,per_question!D30)</f>
        <v>5</v>
      </c>
      <c r="I30">
        <f>IF(H30=0,"",SUMIF(per_item!$D$2:$D$108,per_question!D30,per_item!$I$2:$I$108)/per_question!H30)</f>
        <v>1</v>
      </c>
      <c r="J30">
        <v>1</v>
      </c>
      <c r="K30">
        <v>1</v>
      </c>
      <c r="L30">
        <v>1</v>
      </c>
      <c r="M30">
        <f>IF(H30=0,"",SUMIF(per_item!$D$2:$D$108,per_question!D30,per_item!$J$2:$J$108)/per_question!H30)</f>
        <v>1</v>
      </c>
      <c r="N30">
        <v>5</v>
      </c>
      <c r="O30">
        <v>5</v>
      </c>
      <c r="P30" t="str">
        <f t="shared" si="1"/>
        <v/>
      </c>
      <c r="Q30" t="str">
        <f t="shared" si="2"/>
        <v>TP</v>
      </c>
      <c r="R30" s="2" t="s">
        <v>26</v>
      </c>
      <c r="S30" t="str">
        <f>IF(AND(M30&gt;=global_runs!$D$2,per_question!F30=FALSE),"Pos",IF(AND(M30&lt;global_runs!$D$2,per_question!F30=FALSE),"Neg",IF(per_question!F30=TRUE,"Neg","Unknown")))</f>
        <v>Pos</v>
      </c>
      <c r="T30" s="2">
        <v>0.6</v>
      </c>
      <c r="U30" s="2" t="s">
        <v>89</v>
      </c>
      <c r="V30" s="2" t="s">
        <v>90</v>
      </c>
    </row>
    <row r="31" spans="1:22" x14ac:dyDescent="0.3">
      <c r="A31" s="2" t="s">
        <v>22</v>
      </c>
      <c r="B31" s="2" t="s">
        <v>23</v>
      </c>
      <c r="C31" s="2" t="s">
        <v>24</v>
      </c>
      <c r="D31" s="2">
        <v>30</v>
      </c>
      <c r="E31" s="2" t="b">
        <v>1</v>
      </c>
      <c r="F31" s="2" t="b">
        <v>0</v>
      </c>
      <c r="G31" s="2"/>
      <c r="H31">
        <f>COUNTIF(per_item!$D$2:$D$108,per_question!D31)</f>
        <v>5</v>
      </c>
      <c r="I31">
        <f>IF(H31=0,"",SUMIF(per_item!$D$2:$D$108,per_question!D31,per_item!$I$2:$I$108)/per_question!H31)</f>
        <v>1</v>
      </c>
      <c r="J31">
        <v>1</v>
      </c>
      <c r="K31">
        <v>1</v>
      </c>
      <c r="L31">
        <v>1</v>
      </c>
      <c r="M31">
        <f>IF(H31=0,"",SUMIF(per_item!$D$2:$D$108,per_question!D31,per_item!$J$2:$J$108)/per_question!H31)</f>
        <v>1</v>
      </c>
      <c r="N31">
        <v>15</v>
      </c>
      <c r="O31">
        <v>15</v>
      </c>
      <c r="P31" t="str">
        <f t="shared" si="1"/>
        <v/>
      </c>
      <c r="Q31" t="str">
        <f>IF(AND(R31="Pos",S31="Pos"),"TP",IF(AND(R31="Neg",S31="Neg",P31=1),"TN",IF(AND(R31="Pos",S31="Neg"),"FN",IF(AND(R31="Neg",S31="Neg",P31=""),"FP","UNK"))))</f>
        <v>TP</v>
      </c>
      <c r="R31" s="2" t="s">
        <v>26</v>
      </c>
      <c r="S31" t="str">
        <f>IF(AND(M31&gt;=global_runs!$D$2,per_question!F31=FALSE),"Pos",IF(AND(M31&lt;global_runs!$D$2,per_question!F31=FALSE),"Neg",IF(per_question!F31=TRUE,"Neg","Unknown")))</f>
        <v>Pos</v>
      </c>
      <c r="T31" s="2">
        <v>0.6</v>
      </c>
      <c r="U31" s="2" t="s">
        <v>91</v>
      </c>
      <c r="V31" s="2" t="s">
        <v>92</v>
      </c>
    </row>
    <row r="32" spans="1:22" x14ac:dyDescent="0.3">
      <c r="I32">
        <f>AVERAGE(I2:I31)</f>
        <v>0.81723809523809521</v>
      </c>
      <c r="J32">
        <f t="shared" ref="J32:M32" si="3">AVERAGE(J2:J31)</f>
        <v>1</v>
      </c>
      <c r="K32">
        <f t="shared" si="3"/>
        <v>0.75323809523809526</v>
      </c>
      <c r="L32">
        <f t="shared" si="3"/>
        <v>0.83795289249212079</v>
      </c>
      <c r="M32">
        <f t="shared" si="3"/>
        <v>0.57066666666666666</v>
      </c>
      <c r="P32">
        <f>AVERAGE(P2:P31)</f>
        <v>0.4</v>
      </c>
    </row>
    <row r="33" spans="1:19" x14ac:dyDescent="0.3">
      <c r="A33" s="2"/>
      <c r="B33" s="3" t="s">
        <v>325</v>
      </c>
      <c r="C33" t="s">
        <v>326</v>
      </c>
      <c r="S33">
        <f>COUNTIF(S2:S31,"Pos")</f>
        <v>14</v>
      </c>
    </row>
    <row r="34" spans="1:19" x14ac:dyDescent="0.3">
      <c r="A34" t="s">
        <v>327</v>
      </c>
      <c r="C34" t="s">
        <v>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9"/>
  <sheetViews>
    <sheetView topLeftCell="A84" workbookViewId="0">
      <selection activeCell="F92" sqref="F92"/>
    </sheetView>
  </sheetViews>
  <sheetFormatPr defaultRowHeight="14.4" x14ac:dyDescent="0.3"/>
  <cols>
    <col min="6" max="6" width="68.6640625" bestFit="1" customWidth="1"/>
    <col min="7" max="7" width="37" bestFit="1" customWidth="1"/>
    <col min="9" max="9" width="22.6640625" bestFit="1" customWidth="1"/>
    <col min="10" max="10" width="13.109375" bestFit="1" customWidth="1"/>
    <col min="11" max="11" width="12" bestFit="1" customWidth="1"/>
  </cols>
  <sheetData>
    <row r="1" spans="1:21" x14ac:dyDescent="0.3">
      <c r="A1" s="1" t="s">
        <v>0</v>
      </c>
      <c r="B1" s="1" t="s">
        <v>1</v>
      </c>
      <c r="C1" s="1" t="s">
        <v>2</v>
      </c>
      <c r="D1" s="1" t="s">
        <v>3</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row>
    <row r="2" spans="1:21" x14ac:dyDescent="0.3">
      <c r="A2" t="s">
        <v>22</v>
      </c>
      <c r="B2" t="s">
        <v>23</v>
      </c>
      <c r="C2" t="s">
        <v>24</v>
      </c>
      <c r="D2">
        <v>1</v>
      </c>
      <c r="E2">
        <v>1</v>
      </c>
      <c r="F2" t="s">
        <v>110</v>
      </c>
      <c r="G2" t="s">
        <v>111</v>
      </c>
      <c r="H2">
        <v>9878</v>
      </c>
      <c r="I2">
        <v>1</v>
      </c>
      <c r="J2">
        <v>1</v>
      </c>
      <c r="K2">
        <v>695000000</v>
      </c>
      <c r="M2">
        <v>120</v>
      </c>
      <c r="N2">
        <v>76</v>
      </c>
      <c r="P2">
        <v>2</v>
      </c>
      <c r="R2">
        <v>1</v>
      </c>
      <c r="S2">
        <v>1</v>
      </c>
      <c r="T2" t="s">
        <v>112</v>
      </c>
      <c r="U2" t="s">
        <v>113</v>
      </c>
    </row>
    <row r="3" spans="1:21" x14ac:dyDescent="0.3">
      <c r="A3" t="s">
        <v>22</v>
      </c>
      <c r="B3" t="s">
        <v>23</v>
      </c>
      <c r="C3" t="s">
        <v>24</v>
      </c>
      <c r="D3">
        <v>1</v>
      </c>
      <c r="E3">
        <v>2</v>
      </c>
      <c r="F3" t="s">
        <v>114</v>
      </c>
      <c r="G3" t="s">
        <v>115</v>
      </c>
      <c r="H3">
        <v>8341</v>
      </c>
      <c r="I3">
        <v>1</v>
      </c>
      <c r="J3">
        <v>1</v>
      </c>
      <c r="K3">
        <v>1000000000</v>
      </c>
      <c r="L3">
        <v>2</v>
      </c>
      <c r="M3">
        <v>168</v>
      </c>
      <c r="N3">
        <v>64</v>
      </c>
      <c r="P3">
        <v>3</v>
      </c>
      <c r="R3">
        <v>1</v>
      </c>
      <c r="S3">
        <v>1</v>
      </c>
      <c r="T3" t="s">
        <v>116</v>
      </c>
      <c r="U3" t="s">
        <v>113</v>
      </c>
    </row>
    <row r="4" spans="1:21" x14ac:dyDescent="0.3">
      <c r="A4" t="s">
        <v>22</v>
      </c>
      <c r="B4" t="s">
        <v>23</v>
      </c>
      <c r="C4" t="s">
        <v>24</v>
      </c>
      <c r="D4">
        <v>1</v>
      </c>
      <c r="E4">
        <v>3</v>
      </c>
      <c r="F4" t="s">
        <v>117</v>
      </c>
      <c r="G4" t="s">
        <v>118</v>
      </c>
      <c r="H4">
        <v>7426</v>
      </c>
      <c r="I4">
        <v>1</v>
      </c>
      <c r="J4">
        <v>1</v>
      </c>
      <c r="K4">
        <v>760000000</v>
      </c>
      <c r="M4">
        <v>95</v>
      </c>
      <c r="N4">
        <v>55</v>
      </c>
      <c r="P4">
        <v>2</v>
      </c>
      <c r="R4">
        <v>1</v>
      </c>
      <c r="S4">
        <v>1</v>
      </c>
      <c r="T4" t="s">
        <v>119</v>
      </c>
      <c r="U4" t="s">
        <v>113</v>
      </c>
    </row>
    <row r="5" spans="1:21" x14ac:dyDescent="0.3">
      <c r="A5" t="s">
        <v>22</v>
      </c>
      <c r="B5" t="s">
        <v>23</v>
      </c>
      <c r="C5" t="s">
        <v>24</v>
      </c>
      <c r="D5">
        <v>1</v>
      </c>
      <c r="E5">
        <v>4</v>
      </c>
      <c r="F5" t="s">
        <v>120</v>
      </c>
      <c r="G5" t="s">
        <v>121</v>
      </c>
      <c r="H5">
        <v>9278</v>
      </c>
      <c r="I5">
        <v>1</v>
      </c>
      <c r="J5">
        <v>1</v>
      </c>
      <c r="K5">
        <v>8500000000</v>
      </c>
      <c r="L5">
        <v>5</v>
      </c>
      <c r="M5">
        <v>720</v>
      </c>
      <c r="N5">
        <v>300</v>
      </c>
      <c r="P5">
        <v>3</v>
      </c>
      <c r="Q5" t="s">
        <v>122</v>
      </c>
      <c r="R5">
        <v>1</v>
      </c>
      <c r="S5">
        <v>1</v>
      </c>
      <c r="T5" t="s">
        <v>116</v>
      </c>
      <c r="U5" t="s">
        <v>113</v>
      </c>
    </row>
    <row r="6" spans="1:21" x14ac:dyDescent="0.3">
      <c r="A6" t="s">
        <v>22</v>
      </c>
      <c r="B6" t="s">
        <v>23</v>
      </c>
      <c r="C6" t="s">
        <v>24</v>
      </c>
      <c r="D6">
        <v>1</v>
      </c>
      <c r="E6">
        <v>5</v>
      </c>
      <c r="F6" t="s">
        <v>123</v>
      </c>
      <c r="G6" t="s">
        <v>124</v>
      </c>
      <c r="H6">
        <v>9275</v>
      </c>
      <c r="I6">
        <v>1</v>
      </c>
      <c r="J6">
        <v>1</v>
      </c>
      <c r="K6">
        <v>850000000</v>
      </c>
      <c r="L6">
        <v>3</v>
      </c>
      <c r="M6">
        <v>150</v>
      </c>
      <c r="N6">
        <v>112</v>
      </c>
      <c r="P6">
        <v>2</v>
      </c>
      <c r="R6">
        <v>1</v>
      </c>
      <c r="S6">
        <v>1</v>
      </c>
      <c r="T6" t="s">
        <v>119</v>
      </c>
      <c r="U6" t="s">
        <v>113</v>
      </c>
    </row>
    <row r="7" spans="1:21" x14ac:dyDescent="0.3">
      <c r="A7" t="s">
        <v>22</v>
      </c>
      <c r="B7" t="s">
        <v>23</v>
      </c>
      <c r="C7" t="s">
        <v>24</v>
      </c>
      <c r="D7">
        <v>2</v>
      </c>
      <c r="E7">
        <v>1</v>
      </c>
      <c r="F7" t="s">
        <v>125</v>
      </c>
      <c r="G7" t="s">
        <v>126</v>
      </c>
      <c r="H7">
        <v>7980</v>
      </c>
      <c r="I7">
        <v>1</v>
      </c>
      <c r="J7">
        <v>1</v>
      </c>
      <c r="K7">
        <v>900000000</v>
      </c>
      <c r="L7">
        <v>3</v>
      </c>
      <c r="M7">
        <v>90</v>
      </c>
      <c r="N7">
        <v>90</v>
      </c>
      <c r="P7">
        <v>2</v>
      </c>
      <c r="R7">
        <v>1</v>
      </c>
      <c r="S7">
        <v>1</v>
      </c>
      <c r="T7" t="s">
        <v>112</v>
      </c>
      <c r="U7" t="s">
        <v>113</v>
      </c>
    </row>
    <row r="8" spans="1:21" x14ac:dyDescent="0.3">
      <c r="A8" t="s">
        <v>22</v>
      </c>
      <c r="B8" t="s">
        <v>23</v>
      </c>
      <c r="C8" t="s">
        <v>24</v>
      </c>
      <c r="D8">
        <v>2</v>
      </c>
      <c r="E8">
        <v>2</v>
      </c>
      <c r="F8" t="s">
        <v>127</v>
      </c>
      <c r="G8" t="s">
        <v>128</v>
      </c>
      <c r="H8">
        <v>9821</v>
      </c>
      <c r="I8">
        <v>1</v>
      </c>
      <c r="J8">
        <v>1</v>
      </c>
      <c r="K8">
        <v>1300000000</v>
      </c>
      <c r="L8">
        <v>3</v>
      </c>
      <c r="M8">
        <v>140</v>
      </c>
      <c r="N8">
        <v>162</v>
      </c>
      <c r="P8">
        <v>2</v>
      </c>
      <c r="R8">
        <v>1</v>
      </c>
      <c r="S8">
        <v>1</v>
      </c>
      <c r="U8" t="s">
        <v>113</v>
      </c>
    </row>
    <row r="9" spans="1:21" x14ac:dyDescent="0.3">
      <c r="A9" t="s">
        <v>22</v>
      </c>
      <c r="B9" t="s">
        <v>23</v>
      </c>
      <c r="C9" t="s">
        <v>24</v>
      </c>
      <c r="D9">
        <v>2</v>
      </c>
      <c r="E9">
        <v>3</v>
      </c>
      <c r="F9" t="s">
        <v>129</v>
      </c>
      <c r="G9" t="s">
        <v>130</v>
      </c>
      <c r="H9">
        <v>9724</v>
      </c>
      <c r="I9">
        <v>1</v>
      </c>
      <c r="J9">
        <v>1</v>
      </c>
      <c r="K9">
        <v>1300000000</v>
      </c>
      <c r="L9">
        <v>3</v>
      </c>
      <c r="M9">
        <v>144</v>
      </c>
      <c r="N9">
        <v>84</v>
      </c>
      <c r="P9">
        <v>2</v>
      </c>
      <c r="R9">
        <v>1</v>
      </c>
      <c r="S9">
        <v>1</v>
      </c>
      <c r="U9" t="s">
        <v>113</v>
      </c>
    </row>
    <row r="10" spans="1:21" x14ac:dyDescent="0.3">
      <c r="A10" t="s">
        <v>22</v>
      </c>
      <c r="B10" t="s">
        <v>23</v>
      </c>
      <c r="C10" t="s">
        <v>24</v>
      </c>
      <c r="D10">
        <v>2</v>
      </c>
      <c r="E10">
        <v>4</v>
      </c>
      <c r="F10" t="s">
        <v>131</v>
      </c>
      <c r="G10" t="s">
        <v>132</v>
      </c>
      <c r="H10">
        <v>7329</v>
      </c>
      <c r="I10">
        <v>1</v>
      </c>
      <c r="J10">
        <v>1</v>
      </c>
      <c r="K10">
        <v>950000000</v>
      </c>
      <c r="L10">
        <v>4</v>
      </c>
      <c r="M10">
        <v>192</v>
      </c>
      <c r="N10">
        <v>96</v>
      </c>
      <c r="P10">
        <v>2</v>
      </c>
      <c r="R10">
        <v>1</v>
      </c>
      <c r="S10">
        <v>1</v>
      </c>
      <c r="T10" t="s">
        <v>133</v>
      </c>
      <c r="U10" t="s">
        <v>113</v>
      </c>
    </row>
    <row r="11" spans="1:21" x14ac:dyDescent="0.3">
      <c r="A11" t="s">
        <v>22</v>
      </c>
      <c r="B11" t="s">
        <v>23</v>
      </c>
      <c r="C11" t="s">
        <v>24</v>
      </c>
      <c r="D11">
        <v>2</v>
      </c>
      <c r="E11">
        <v>5</v>
      </c>
      <c r="F11" t="s">
        <v>134</v>
      </c>
      <c r="G11" t="s">
        <v>135</v>
      </c>
      <c r="H11">
        <v>9826</v>
      </c>
      <c r="I11">
        <v>1</v>
      </c>
      <c r="J11">
        <v>1</v>
      </c>
      <c r="K11">
        <v>2500000000</v>
      </c>
      <c r="L11">
        <v>6</v>
      </c>
      <c r="M11">
        <v>300</v>
      </c>
      <c r="N11">
        <v>368</v>
      </c>
      <c r="P11">
        <v>2</v>
      </c>
      <c r="R11">
        <v>1</v>
      </c>
      <c r="S11">
        <v>1</v>
      </c>
      <c r="T11" t="s">
        <v>119</v>
      </c>
      <c r="U11" t="s">
        <v>113</v>
      </c>
    </row>
    <row r="12" spans="1:21" x14ac:dyDescent="0.3">
      <c r="A12" t="s">
        <v>22</v>
      </c>
      <c r="B12" t="s">
        <v>23</v>
      </c>
      <c r="C12" t="s">
        <v>24</v>
      </c>
      <c r="D12">
        <v>3</v>
      </c>
      <c r="E12">
        <v>1</v>
      </c>
      <c r="F12" t="s">
        <v>136</v>
      </c>
      <c r="G12" t="s">
        <v>137</v>
      </c>
      <c r="H12">
        <v>9976</v>
      </c>
      <c r="I12">
        <v>1</v>
      </c>
      <c r="J12">
        <v>1</v>
      </c>
      <c r="K12">
        <v>60000000</v>
      </c>
      <c r="L12">
        <v>3</v>
      </c>
      <c r="M12">
        <v>180</v>
      </c>
      <c r="N12">
        <v>135</v>
      </c>
      <c r="P12">
        <v>2</v>
      </c>
      <c r="R12">
        <v>1</v>
      </c>
      <c r="S12">
        <v>2</v>
      </c>
      <c r="T12" t="s">
        <v>119</v>
      </c>
      <c r="U12" t="s">
        <v>113</v>
      </c>
    </row>
    <row r="13" spans="1:21" x14ac:dyDescent="0.3">
      <c r="A13" t="s">
        <v>22</v>
      </c>
      <c r="B13" t="s">
        <v>23</v>
      </c>
      <c r="C13" t="s">
        <v>24</v>
      </c>
      <c r="D13">
        <v>3</v>
      </c>
      <c r="E13">
        <v>2</v>
      </c>
      <c r="F13" t="s">
        <v>138</v>
      </c>
      <c r="G13" t="s">
        <v>139</v>
      </c>
      <c r="H13">
        <v>6091</v>
      </c>
      <c r="I13">
        <v>1</v>
      </c>
      <c r="J13">
        <v>1</v>
      </c>
      <c r="K13">
        <v>180000000</v>
      </c>
      <c r="L13">
        <v>6</v>
      </c>
      <c r="M13">
        <v>600</v>
      </c>
      <c r="N13">
        <v>300</v>
      </c>
      <c r="P13">
        <v>2</v>
      </c>
      <c r="Q13" t="s">
        <v>140</v>
      </c>
      <c r="R13">
        <v>1</v>
      </c>
      <c r="S13">
        <v>2</v>
      </c>
      <c r="U13" t="s">
        <v>113</v>
      </c>
    </row>
    <row r="14" spans="1:21" x14ac:dyDescent="0.3">
      <c r="A14" t="s">
        <v>22</v>
      </c>
      <c r="B14" t="s">
        <v>23</v>
      </c>
      <c r="C14" t="s">
        <v>24</v>
      </c>
      <c r="D14">
        <v>4</v>
      </c>
      <c r="E14">
        <v>1</v>
      </c>
      <c r="F14" t="s">
        <v>141</v>
      </c>
      <c r="G14" t="s">
        <v>111</v>
      </c>
      <c r="H14">
        <v>9878</v>
      </c>
      <c r="I14">
        <v>0.8</v>
      </c>
      <c r="J14">
        <v>0</v>
      </c>
      <c r="K14">
        <v>695000000</v>
      </c>
      <c r="M14">
        <v>120</v>
      </c>
      <c r="N14">
        <v>76</v>
      </c>
      <c r="P14">
        <v>2</v>
      </c>
      <c r="R14">
        <v>1</v>
      </c>
      <c r="S14">
        <v>1</v>
      </c>
      <c r="T14" t="s">
        <v>112</v>
      </c>
      <c r="U14" t="s">
        <v>142</v>
      </c>
    </row>
    <row r="15" spans="1:21" x14ac:dyDescent="0.3">
      <c r="A15" t="s">
        <v>22</v>
      </c>
      <c r="B15" t="s">
        <v>23</v>
      </c>
      <c r="C15" t="s">
        <v>24</v>
      </c>
      <c r="D15">
        <v>4</v>
      </c>
      <c r="E15">
        <v>2</v>
      </c>
      <c r="F15" t="s">
        <v>143</v>
      </c>
      <c r="G15" t="s">
        <v>124</v>
      </c>
      <c r="H15">
        <v>9275</v>
      </c>
      <c r="I15">
        <v>1</v>
      </c>
      <c r="J15">
        <v>1</v>
      </c>
      <c r="K15">
        <v>850000000</v>
      </c>
      <c r="L15">
        <v>3</v>
      </c>
      <c r="M15">
        <v>150</v>
      </c>
      <c r="N15">
        <v>112</v>
      </c>
      <c r="P15">
        <v>2</v>
      </c>
      <c r="Q15" t="s">
        <v>144</v>
      </c>
      <c r="R15">
        <v>1</v>
      </c>
      <c r="S15">
        <v>1</v>
      </c>
      <c r="T15" t="s">
        <v>119</v>
      </c>
      <c r="U15" t="s">
        <v>145</v>
      </c>
    </row>
    <row r="16" spans="1:21" x14ac:dyDescent="0.3">
      <c r="A16" t="s">
        <v>22</v>
      </c>
      <c r="B16" t="s">
        <v>23</v>
      </c>
      <c r="C16" t="s">
        <v>24</v>
      </c>
      <c r="D16">
        <v>4</v>
      </c>
      <c r="E16">
        <v>3</v>
      </c>
      <c r="F16" t="s">
        <v>146</v>
      </c>
      <c r="G16" t="s">
        <v>115</v>
      </c>
      <c r="H16">
        <v>8341</v>
      </c>
      <c r="I16">
        <v>1</v>
      </c>
      <c r="J16">
        <v>1</v>
      </c>
      <c r="K16">
        <v>1000000000</v>
      </c>
      <c r="L16">
        <v>2</v>
      </c>
      <c r="M16">
        <v>168</v>
      </c>
      <c r="N16">
        <v>64</v>
      </c>
      <c r="P16">
        <v>3</v>
      </c>
      <c r="R16">
        <v>1</v>
      </c>
      <c r="S16">
        <v>1</v>
      </c>
      <c r="T16" t="s">
        <v>116</v>
      </c>
      <c r="U16" t="s">
        <v>145</v>
      </c>
    </row>
    <row r="17" spans="1:21" x14ac:dyDescent="0.3">
      <c r="A17" t="s">
        <v>22</v>
      </c>
      <c r="B17" t="s">
        <v>23</v>
      </c>
      <c r="C17" t="s">
        <v>24</v>
      </c>
      <c r="D17">
        <v>8</v>
      </c>
      <c r="E17">
        <v>1</v>
      </c>
      <c r="F17" t="s">
        <v>147</v>
      </c>
      <c r="G17" t="s">
        <v>148</v>
      </c>
      <c r="H17">
        <v>9091</v>
      </c>
      <c r="I17">
        <v>0.66666666666666663</v>
      </c>
      <c r="J17">
        <v>0</v>
      </c>
      <c r="K17">
        <v>1500000000</v>
      </c>
      <c r="L17">
        <v>4</v>
      </c>
      <c r="M17">
        <v>269</v>
      </c>
      <c r="N17">
        <v>105</v>
      </c>
      <c r="P17">
        <v>3</v>
      </c>
      <c r="R17">
        <v>1</v>
      </c>
      <c r="S17">
        <v>1</v>
      </c>
      <c r="T17" t="s">
        <v>119</v>
      </c>
      <c r="U17" t="s">
        <v>149</v>
      </c>
    </row>
    <row r="18" spans="1:21" x14ac:dyDescent="0.3">
      <c r="A18" t="s">
        <v>22</v>
      </c>
      <c r="B18" t="s">
        <v>23</v>
      </c>
      <c r="C18" t="s">
        <v>24</v>
      </c>
      <c r="D18">
        <v>8</v>
      </c>
      <c r="E18">
        <v>2</v>
      </c>
      <c r="F18" t="s">
        <v>150</v>
      </c>
      <c r="G18" t="s">
        <v>151</v>
      </c>
      <c r="H18">
        <v>9209</v>
      </c>
      <c r="I18">
        <v>0.66666666666666663</v>
      </c>
      <c r="J18">
        <v>0</v>
      </c>
      <c r="K18">
        <v>1450000000</v>
      </c>
      <c r="L18">
        <v>3</v>
      </c>
      <c r="M18">
        <v>315</v>
      </c>
      <c r="N18">
        <v>150</v>
      </c>
      <c r="P18">
        <v>3</v>
      </c>
      <c r="R18">
        <v>1</v>
      </c>
      <c r="S18">
        <v>1</v>
      </c>
      <c r="T18" t="s">
        <v>112</v>
      </c>
      <c r="U18" t="s">
        <v>149</v>
      </c>
    </row>
    <row r="19" spans="1:21" x14ac:dyDescent="0.3">
      <c r="A19" t="s">
        <v>22</v>
      </c>
      <c r="B19" t="s">
        <v>23</v>
      </c>
      <c r="C19" t="s">
        <v>24</v>
      </c>
      <c r="D19">
        <v>8</v>
      </c>
      <c r="E19">
        <v>3</v>
      </c>
      <c r="F19" t="s">
        <v>152</v>
      </c>
      <c r="G19" t="s">
        <v>153</v>
      </c>
      <c r="H19">
        <v>6938</v>
      </c>
      <c r="I19">
        <v>0.33333333333333331</v>
      </c>
      <c r="J19">
        <v>0</v>
      </c>
      <c r="K19">
        <v>465000000</v>
      </c>
      <c r="L19">
        <v>2</v>
      </c>
      <c r="M19">
        <v>44</v>
      </c>
      <c r="N19">
        <v>186</v>
      </c>
      <c r="P19">
        <v>1</v>
      </c>
      <c r="R19">
        <v>1</v>
      </c>
      <c r="S19">
        <v>1</v>
      </c>
      <c r="T19" t="s">
        <v>112</v>
      </c>
      <c r="U19" t="s">
        <v>154</v>
      </c>
    </row>
    <row r="20" spans="1:21" x14ac:dyDescent="0.3">
      <c r="A20" t="s">
        <v>22</v>
      </c>
      <c r="B20" t="s">
        <v>23</v>
      </c>
      <c r="C20" t="s">
        <v>24</v>
      </c>
      <c r="D20">
        <v>8</v>
      </c>
      <c r="E20">
        <v>4</v>
      </c>
      <c r="F20" t="s">
        <v>155</v>
      </c>
      <c r="G20" t="s">
        <v>156</v>
      </c>
      <c r="H20">
        <v>6920</v>
      </c>
      <c r="I20">
        <v>0.33333333333333331</v>
      </c>
      <c r="J20">
        <v>0</v>
      </c>
      <c r="K20">
        <v>3900000000</v>
      </c>
      <c r="L20">
        <v>4</v>
      </c>
      <c r="M20">
        <v>300</v>
      </c>
      <c r="N20">
        <v>184</v>
      </c>
      <c r="P20">
        <v>2</v>
      </c>
      <c r="R20">
        <v>1</v>
      </c>
      <c r="S20">
        <v>1</v>
      </c>
      <c r="T20" t="s">
        <v>133</v>
      </c>
      <c r="U20" t="s">
        <v>154</v>
      </c>
    </row>
    <row r="21" spans="1:21" x14ac:dyDescent="0.3">
      <c r="A21" t="s">
        <v>22</v>
      </c>
      <c r="B21" t="s">
        <v>23</v>
      </c>
      <c r="C21" t="s">
        <v>24</v>
      </c>
      <c r="D21">
        <v>8</v>
      </c>
      <c r="E21">
        <v>5</v>
      </c>
      <c r="F21" t="s">
        <v>157</v>
      </c>
      <c r="G21" t="s">
        <v>158</v>
      </c>
      <c r="H21">
        <v>1122</v>
      </c>
      <c r="I21">
        <v>0.33333333333333331</v>
      </c>
      <c r="J21">
        <v>0</v>
      </c>
      <c r="K21">
        <v>1300000000</v>
      </c>
      <c r="L21">
        <v>3</v>
      </c>
      <c r="M21">
        <v>200</v>
      </c>
      <c r="N21">
        <v>419</v>
      </c>
      <c r="P21">
        <v>1</v>
      </c>
      <c r="R21">
        <v>1</v>
      </c>
      <c r="S21">
        <v>1</v>
      </c>
      <c r="U21" t="s">
        <v>154</v>
      </c>
    </row>
    <row r="22" spans="1:21" x14ac:dyDescent="0.3">
      <c r="A22" t="s">
        <v>22</v>
      </c>
      <c r="B22" t="s">
        <v>23</v>
      </c>
      <c r="C22" t="s">
        <v>24</v>
      </c>
      <c r="D22">
        <v>10</v>
      </c>
      <c r="E22">
        <v>1</v>
      </c>
      <c r="F22" t="s">
        <v>159</v>
      </c>
      <c r="G22" t="s">
        <v>160</v>
      </c>
      <c r="H22">
        <v>8560</v>
      </c>
      <c r="I22">
        <v>0.66666666666666663</v>
      </c>
      <c r="J22">
        <v>0</v>
      </c>
      <c r="K22">
        <v>850000000</v>
      </c>
      <c r="L22">
        <v>2</v>
      </c>
      <c r="M22">
        <v>210</v>
      </c>
      <c r="N22">
        <v>70</v>
      </c>
      <c r="P22">
        <v>3</v>
      </c>
      <c r="R22">
        <v>2</v>
      </c>
      <c r="S22">
        <v>1</v>
      </c>
      <c r="T22" t="s">
        <v>119</v>
      </c>
      <c r="U22" t="s">
        <v>149</v>
      </c>
    </row>
    <row r="23" spans="1:21" x14ac:dyDescent="0.3">
      <c r="A23" t="s">
        <v>22</v>
      </c>
      <c r="B23" t="s">
        <v>23</v>
      </c>
      <c r="C23" t="s">
        <v>24</v>
      </c>
      <c r="D23">
        <v>10</v>
      </c>
      <c r="E23">
        <v>2</v>
      </c>
      <c r="F23" t="s">
        <v>161</v>
      </c>
      <c r="G23" t="s">
        <v>162</v>
      </c>
      <c r="H23">
        <v>8406</v>
      </c>
      <c r="I23">
        <v>0.66666666666666663</v>
      </c>
      <c r="J23">
        <v>0</v>
      </c>
      <c r="K23">
        <v>2800000000</v>
      </c>
      <c r="M23">
        <v>384</v>
      </c>
      <c r="N23">
        <v>128</v>
      </c>
      <c r="P23">
        <v>3</v>
      </c>
      <c r="Q23" t="s">
        <v>163</v>
      </c>
      <c r="R23">
        <v>2</v>
      </c>
      <c r="S23">
        <v>1</v>
      </c>
      <c r="T23" t="s">
        <v>116</v>
      </c>
      <c r="U23" t="s">
        <v>149</v>
      </c>
    </row>
    <row r="24" spans="1:21" x14ac:dyDescent="0.3">
      <c r="A24" t="s">
        <v>22</v>
      </c>
      <c r="B24" t="s">
        <v>23</v>
      </c>
      <c r="C24" t="s">
        <v>24</v>
      </c>
      <c r="D24">
        <v>10</v>
      </c>
      <c r="E24">
        <v>3</v>
      </c>
      <c r="F24" t="s">
        <v>164</v>
      </c>
      <c r="G24" t="s">
        <v>165</v>
      </c>
      <c r="H24">
        <v>938</v>
      </c>
      <c r="I24">
        <v>0.66666666666666663</v>
      </c>
      <c r="J24">
        <v>0</v>
      </c>
      <c r="K24">
        <v>475000000</v>
      </c>
      <c r="M24">
        <v>80</v>
      </c>
      <c r="N24">
        <v>48</v>
      </c>
      <c r="P24">
        <v>2</v>
      </c>
      <c r="R24">
        <v>2</v>
      </c>
      <c r="S24">
        <v>1</v>
      </c>
      <c r="T24" t="s">
        <v>119</v>
      </c>
      <c r="U24" t="s">
        <v>149</v>
      </c>
    </row>
    <row r="25" spans="1:21" x14ac:dyDescent="0.3">
      <c r="A25" t="s">
        <v>22</v>
      </c>
      <c r="B25" t="s">
        <v>23</v>
      </c>
      <c r="C25" t="s">
        <v>24</v>
      </c>
      <c r="D25">
        <v>10</v>
      </c>
      <c r="E25">
        <v>4</v>
      </c>
      <c r="F25" t="s">
        <v>166</v>
      </c>
      <c r="G25" t="s">
        <v>167</v>
      </c>
      <c r="H25">
        <v>7441</v>
      </c>
      <c r="I25">
        <v>0.66666666666666663</v>
      </c>
      <c r="J25">
        <v>0</v>
      </c>
      <c r="K25">
        <v>530000000</v>
      </c>
      <c r="L25">
        <v>3</v>
      </c>
      <c r="M25">
        <v>192</v>
      </c>
      <c r="N25">
        <v>96</v>
      </c>
      <c r="P25">
        <v>2</v>
      </c>
      <c r="R25">
        <v>2</v>
      </c>
      <c r="S25">
        <v>1</v>
      </c>
      <c r="U25" t="s">
        <v>149</v>
      </c>
    </row>
    <row r="26" spans="1:21" x14ac:dyDescent="0.3">
      <c r="A26" t="s">
        <v>22</v>
      </c>
      <c r="B26" t="s">
        <v>23</v>
      </c>
      <c r="C26" t="s">
        <v>24</v>
      </c>
      <c r="D26">
        <v>10</v>
      </c>
      <c r="E26">
        <v>5</v>
      </c>
      <c r="F26" t="s">
        <v>168</v>
      </c>
      <c r="G26" t="s">
        <v>169</v>
      </c>
      <c r="H26">
        <v>5065</v>
      </c>
      <c r="I26">
        <v>0.66666666666666663</v>
      </c>
      <c r="J26">
        <v>0</v>
      </c>
      <c r="K26">
        <v>1700000000</v>
      </c>
      <c r="L26">
        <v>3</v>
      </c>
      <c r="M26">
        <v>192</v>
      </c>
      <c r="N26">
        <v>100</v>
      </c>
      <c r="P26">
        <v>3</v>
      </c>
      <c r="R26">
        <v>2</v>
      </c>
      <c r="S26">
        <v>1</v>
      </c>
      <c r="T26" t="s">
        <v>133</v>
      </c>
      <c r="U26" t="s">
        <v>149</v>
      </c>
    </row>
    <row r="27" spans="1:21" x14ac:dyDescent="0.3">
      <c r="A27" t="s">
        <v>22</v>
      </c>
      <c r="B27" t="s">
        <v>23</v>
      </c>
      <c r="C27" t="s">
        <v>24</v>
      </c>
      <c r="D27">
        <v>11</v>
      </c>
      <c r="E27">
        <v>1</v>
      </c>
      <c r="F27" t="s">
        <v>170</v>
      </c>
      <c r="G27" t="s">
        <v>171</v>
      </c>
      <c r="H27">
        <v>6912</v>
      </c>
      <c r="I27">
        <v>1</v>
      </c>
      <c r="J27">
        <v>1</v>
      </c>
      <c r="K27">
        <v>7000000000</v>
      </c>
      <c r="N27">
        <v>602</v>
      </c>
      <c r="R27">
        <v>3</v>
      </c>
      <c r="S27">
        <v>1</v>
      </c>
      <c r="U27" t="s">
        <v>113</v>
      </c>
    </row>
    <row r="28" spans="1:21" x14ac:dyDescent="0.3">
      <c r="A28" t="s">
        <v>22</v>
      </c>
      <c r="B28" t="s">
        <v>23</v>
      </c>
      <c r="C28" t="s">
        <v>24</v>
      </c>
      <c r="D28">
        <v>11</v>
      </c>
      <c r="E28">
        <v>2</v>
      </c>
      <c r="F28" t="s">
        <v>172</v>
      </c>
      <c r="G28" t="s">
        <v>173</v>
      </c>
      <c r="H28">
        <v>257</v>
      </c>
      <c r="I28">
        <v>1</v>
      </c>
      <c r="J28">
        <v>1</v>
      </c>
      <c r="K28">
        <v>4000000000</v>
      </c>
      <c r="N28">
        <v>3490</v>
      </c>
      <c r="R28">
        <v>3</v>
      </c>
      <c r="S28">
        <v>1</v>
      </c>
      <c r="T28" t="s">
        <v>119</v>
      </c>
      <c r="U28" t="s">
        <v>113</v>
      </c>
    </row>
    <row r="29" spans="1:21" x14ac:dyDescent="0.3">
      <c r="A29" t="s">
        <v>22</v>
      </c>
      <c r="B29" t="s">
        <v>23</v>
      </c>
      <c r="C29" t="s">
        <v>24</v>
      </c>
      <c r="D29">
        <v>11</v>
      </c>
      <c r="E29">
        <v>3</v>
      </c>
      <c r="F29" t="s">
        <v>174</v>
      </c>
      <c r="G29" t="s">
        <v>175</v>
      </c>
      <c r="H29">
        <v>9916</v>
      </c>
      <c r="I29">
        <v>1</v>
      </c>
      <c r="J29">
        <v>1</v>
      </c>
      <c r="K29">
        <v>1700000000</v>
      </c>
      <c r="M29">
        <v>210</v>
      </c>
      <c r="N29">
        <v>756</v>
      </c>
      <c r="P29">
        <v>1</v>
      </c>
      <c r="R29">
        <v>3</v>
      </c>
      <c r="S29">
        <v>1</v>
      </c>
      <c r="T29" t="s">
        <v>133</v>
      </c>
      <c r="U29" t="s">
        <v>113</v>
      </c>
    </row>
    <row r="30" spans="1:21" x14ac:dyDescent="0.3">
      <c r="A30" t="s">
        <v>22</v>
      </c>
      <c r="B30" t="s">
        <v>23</v>
      </c>
      <c r="C30" t="s">
        <v>24</v>
      </c>
      <c r="D30">
        <v>11</v>
      </c>
      <c r="E30">
        <v>4</v>
      </c>
      <c r="F30" t="s">
        <v>176</v>
      </c>
      <c r="G30" t="s">
        <v>177</v>
      </c>
      <c r="H30">
        <v>9257</v>
      </c>
      <c r="I30">
        <v>0.66666666666666663</v>
      </c>
      <c r="J30">
        <v>0</v>
      </c>
      <c r="K30">
        <v>450000000</v>
      </c>
      <c r="L30">
        <v>5</v>
      </c>
      <c r="M30">
        <v>242</v>
      </c>
      <c r="N30">
        <v>242</v>
      </c>
      <c r="P30">
        <v>1</v>
      </c>
      <c r="R30">
        <v>1</v>
      </c>
      <c r="S30">
        <v>1</v>
      </c>
      <c r="U30" t="s">
        <v>178</v>
      </c>
    </row>
    <row r="31" spans="1:21" x14ac:dyDescent="0.3">
      <c r="A31" t="s">
        <v>22</v>
      </c>
      <c r="B31" t="s">
        <v>23</v>
      </c>
      <c r="C31" t="s">
        <v>24</v>
      </c>
      <c r="D31">
        <v>11</v>
      </c>
      <c r="E31">
        <v>5</v>
      </c>
      <c r="F31" t="s">
        <v>179</v>
      </c>
      <c r="G31" t="s">
        <v>180</v>
      </c>
      <c r="H31">
        <v>5117</v>
      </c>
      <c r="I31">
        <v>0.66666666666666663</v>
      </c>
      <c r="J31">
        <v>0</v>
      </c>
      <c r="K31">
        <v>295000000</v>
      </c>
      <c r="L31">
        <v>2</v>
      </c>
      <c r="M31">
        <v>98</v>
      </c>
      <c r="N31">
        <v>116</v>
      </c>
      <c r="P31">
        <v>1</v>
      </c>
      <c r="R31">
        <v>1</v>
      </c>
      <c r="S31">
        <v>1</v>
      </c>
      <c r="U31" t="s">
        <v>178</v>
      </c>
    </row>
    <row r="32" spans="1:21" x14ac:dyDescent="0.3">
      <c r="A32" t="s">
        <v>22</v>
      </c>
      <c r="B32" t="s">
        <v>23</v>
      </c>
      <c r="C32" t="s">
        <v>24</v>
      </c>
      <c r="D32">
        <v>12</v>
      </c>
      <c r="E32">
        <v>1</v>
      </c>
      <c r="F32" t="s">
        <v>181</v>
      </c>
      <c r="G32" t="s">
        <v>182</v>
      </c>
      <c r="H32">
        <v>9845</v>
      </c>
      <c r="I32">
        <v>0.5</v>
      </c>
      <c r="J32">
        <v>0</v>
      </c>
      <c r="K32">
        <v>2200000000</v>
      </c>
      <c r="M32">
        <v>180</v>
      </c>
      <c r="N32">
        <v>1000</v>
      </c>
      <c r="R32">
        <v>5</v>
      </c>
      <c r="S32">
        <v>1</v>
      </c>
      <c r="T32" t="s">
        <v>119</v>
      </c>
      <c r="U32" t="s">
        <v>183</v>
      </c>
    </row>
    <row r="33" spans="1:21" x14ac:dyDescent="0.3">
      <c r="A33" t="s">
        <v>22</v>
      </c>
      <c r="B33" t="s">
        <v>23</v>
      </c>
      <c r="C33" t="s">
        <v>24</v>
      </c>
      <c r="D33">
        <v>12</v>
      </c>
      <c r="E33">
        <v>2</v>
      </c>
      <c r="F33" t="s">
        <v>184</v>
      </c>
      <c r="G33" t="s">
        <v>185</v>
      </c>
      <c r="H33">
        <v>6936</v>
      </c>
      <c r="I33">
        <v>0.5</v>
      </c>
      <c r="J33">
        <v>0</v>
      </c>
      <c r="K33">
        <v>4350000000</v>
      </c>
      <c r="N33">
        <v>450</v>
      </c>
      <c r="R33">
        <v>5</v>
      </c>
      <c r="S33">
        <v>1</v>
      </c>
      <c r="T33" t="s">
        <v>116</v>
      </c>
      <c r="U33" t="s">
        <v>183</v>
      </c>
    </row>
    <row r="34" spans="1:21" x14ac:dyDescent="0.3">
      <c r="A34" t="s">
        <v>22</v>
      </c>
      <c r="B34" t="s">
        <v>23</v>
      </c>
      <c r="C34" t="s">
        <v>24</v>
      </c>
      <c r="D34">
        <v>12</v>
      </c>
      <c r="E34">
        <v>3</v>
      </c>
      <c r="F34" t="s">
        <v>186</v>
      </c>
      <c r="G34" t="s">
        <v>187</v>
      </c>
      <c r="H34">
        <v>192</v>
      </c>
      <c r="I34">
        <v>0.5</v>
      </c>
      <c r="J34">
        <v>0</v>
      </c>
      <c r="K34">
        <v>248400000</v>
      </c>
      <c r="M34">
        <v>0</v>
      </c>
      <c r="N34">
        <v>1656</v>
      </c>
      <c r="P34">
        <v>1</v>
      </c>
      <c r="R34">
        <v>5</v>
      </c>
      <c r="S34">
        <v>2</v>
      </c>
      <c r="U34" t="s">
        <v>183</v>
      </c>
    </row>
    <row r="35" spans="1:21" x14ac:dyDescent="0.3">
      <c r="A35" t="s">
        <v>22</v>
      </c>
      <c r="B35" t="s">
        <v>23</v>
      </c>
      <c r="C35" t="s">
        <v>24</v>
      </c>
      <c r="D35">
        <v>12</v>
      </c>
      <c r="E35">
        <v>4</v>
      </c>
      <c r="F35" t="s">
        <v>188</v>
      </c>
      <c r="G35" t="s">
        <v>189</v>
      </c>
      <c r="H35">
        <v>8007</v>
      </c>
      <c r="I35">
        <v>0.5</v>
      </c>
      <c r="J35">
        <v>0</v>
      </c>
      <c r="K35">
        <v>15000000000</v>
      </c>
      <c r="M35">
        <v>1311</v>
      </c>
      <c r="N35">
        <v>1770</v>
      </c>
      <c r="P35">
        <v>2</v>
      </c>
      <c r="R35">
        <v>5</v>
      </c>
      <c r="S35">
        <v>1</v>
      </c>
      <c r="U35" t="s">
        <v>183</v>
      </c>
    </row>
    <row r="36" spans="1:21" x14ac:dyDescent="0.3">
      <c r="A36" t="s">
        <v>22</v>
      </c>
      <c r="B36" t="s">
        <v>23</v>
      </c>
      <c r="C36" t="s">
        <v>24</v>
      </c>
      <c r="D36">
        <v>12</v>
      </c>
      <c r="E36">
        <v>5</v>
      </c>
      <c r="F36" t="s">
        <v>190</v>
      </c>
      <c r="G36" t="s">
        <v>191</v>
      </c>
      <c r="H36">
        <v>51</v>
      </c>
      <c r="I36">
        <v>0.5</v>
      </c>
      <c r="J36">
        <v>0</v>
      </c>
      <c r="K36">
        <v>10000000000</v>
      </c>
      <c r="N36">
        <v>26500</v>
      </c>
      <c r="R36">
        <v>5</v>
      </c>
      <c r="S36">
        <v>1</v>
      </c>
      <c r="U36" t="s">
        <v>183</v>
      </c>
    </row>
    <row r="37" spans="1:21" x14ac:dyDescent="0.3">
      <c r="A37" t="s">
        <v>22</v>
      </c>
      <c r="B37" t="s">
        <v>23</v>
      </c>
      <c r="C37" t="s">
        <v>24</v>
      </c>
      <c r="D37">
        <v>13</v>
      </c>
      <c r="E37">
        <v>1</v>
      </c>
      <c r="F37" t="s">
        <v>192</v>
      </c>
      <c r="G37" t="s">
        <v>126</v>
      </c>
      <c r="H37">
        <v>7980</v>
      </c>
      <c r="I37">
        <v>1</v>
      </c>
      <c r="J37">
        <v>1</v>
      </c>
      <c r="K37">
        <v>900000000</v>
      </c>
      <c r="L37">
        <v>3</v>
      </c>
      <c r="M37">
        <v>90</v>
      </c>
      <c r="N37">
        <v>90</v>
      </c>
      <c r="P37">
        <v>2</v>
      </c>
      <c r="R37">
        <v>1</v>
      </c>
      <c r="S37">
        <v>1</v>
      </c>
      <c r="T37" t="s">
        <v>112</v>
      </c>
      <c r="U37" t="s">
        <v>193</v>
      </c>
    </row>
    <row r="38" spans="1:21" x14ac:dyDescent="0.3">
      <c r="A38" t="s">
        <v>22</v>
      </c>
      <c r="B38" t="s">
        <v>23</v>
      </c>
      <c r="C38" t="s">
        <v>24</v>
      </c>
      <c r="D38">
        <v>13</v>
      </c>
      <c r="E38">
        <v>2</v>
      </c>
      <c r="F38" t="s">
        <v>194</v>
      </c>
      <c r="G38" t="s">
        <v>128</v>
      </c>
      <c r="H38">
        <v>9821</v>
      </c>
      <c r="I38">
        <v>0.83333333333333337</v>
      </c>
      <c r="J38">
        <v>0</v>
      </c>
      <c r="K38">
        <v>1300000000</v>
      </c>
      <c r="L38">
        <v>3</v>
      </c>
      <c r="M38">
        <v>140</v>
      </c>
      <c r="N38">
        <v>162</v>
      </c>
      <c r="P38">
        <v>2</v>
      </c>
      <c r="R38">
        <v>1</v>
      </c>
      <c r="S38">
        <v>1</v>
      </c>
      <c r="U38" t="s">
        <v>195</v>
      </c>
    </row>
    <row r="39" spans="1:21" x14ac:dyDescent="0.3">
      <c r="A39" t="s">
        <v>22</v>
      </c>
      <c r="B39" t="s">
        <v>23</v>
      </c>
      <c r="C39" t="s">
        <v>24</v>
      </c>
      <c r="D39">
        <v>13</v>
      </c>
      <c r="E39">
        <v>3</v>
      </c>
      <c r="F39" t="s">
        <v>196</v>
      </c>
      <c r="G39" t="s">
        <v>130</v>
      </c>
      <c r="H39">
        <v>9724</v>
      </c>
      <c r="I39">
        <v>0.83333333333333337</v>
      </c>
      <c r="J39">
        <v>0</v>
      </c>
      <c r="K39">
        <v>1300000000</v>
      </c>
      <c r="L39">
        <v>3</v>
      </c>
      <c r="M39">
        <v>144</v>
      </c>
      <c r="N39">
        <v>84</v>
      </c>
      <c r="P39">
        <v>2</v>
      </c>
      <c r="R39">
        <v>1</v>
      </c>
      <c r="S39">
        <v>1</v>
      </c>
      <c r="U39" t="s">
        <v>195</v>
      </c>
    </row>
    <row r="40" spans="1:21" x14ac:dyDescent="0.3">
      <c r="A40" t="s">
        <v>22</v>
      </c>
      <c r="B40" t="s">
        <v>23</v>
      </c>
      <c r="C40" t="s">
        <v>24</v>
      </c>
      <c r="D40">
        <v>13</v>
      </c>
      <c r="E40">
        <v>4</v>
      </c>
      <c r="F40" t="s">
        <v>197</v>
      </c>
      <c r="G40" t="s">
        <v>198</v>
      </c>
      <c r="H40">
        <v>9614</v>
      </c>
      <c r="I40">
        <v>1</v>
      </c>
      <c r="J40">
        <v>1</v>
      </c>
      <c r="K40">
        <v>900000000</v>
      </c>
      <c r="L40">
        <v>3</v>
      </c>
      <c r="M40">
        <v>95</v>
      </c>
      <c r="N40">
        <v>94</v>
      </c>
      <c r="P40">
        <v>2</v>
      </c>
      <c r="R40">
        <v>1</v>
      </c>
      <c r="S40">
        <v>1</v>
      </c>
      <c r="U40" t="s">
        <v>193</v>
      </c>
    </row>
    <row r="41" spans="1:21" x14ac:dyDescent="0.3">
      <c r="A41" t="s">
        <v>22</v>
      </c>
      <c r="B41" t="s">
        <v>23</v>
      </c>
      <c r="C41" t="s">
        <v>24</v>
      </c>
      <c r="D41">
        <v>13</v>
      </c>
      <c r="E41">
        <v>5</v>
      </c>
      <c r="F41" t="s">
        <v>199</v>
      </c>
      <c r="G41" t="s">
        <v>200</v>
      </c>
      <c r="H41">
        <v>8307</v>
      </c>
      <c r="I41">
        <v>0.83333333333333337</v>
      </c>
      <c r="J41">
        <v>0</v>
      </c>
      <c r="K41">
        <v>1650000000</v>
      </c>
      <c r="L41">
        <v>3</v>
      </c>
      <c r="M41">
        <v>160</v>
      </c>
      <c r="N41">
        <v>120</v>
      </c>
      <c r="P41">
        <v>2</v>
      </c>
      <c r="R41">
        <v>1</v>
      </c>
      <c r="S41">
        <v>1</v>
      </c>
      <c r="T41" t="s">
        <v>133</v>
      </c>
      <c r="U41" t="s">
        <v>195</v>
      </c>
    </row>
    <row r="42" spans="1:21" x14ac:dyDescent="0.3">
      <c r="A42" t="s">
        <v>22</v>
      </c>
      <c r="B42" t="s">
        <v>23</v>
      </c>
      <c r="C42" t="s">
        <v>24</v>
      </c>
      <c r="D42">
        <v>14</v>
      </c>
      <c r="E42">
        <v>1</v>
      </c>
      <c r="F42" t="s">
        <v>201</v>
      </c>
      <c r="G42" t="s">
        <v>128</v>
      </c>
      <c r="H42">
        <v>9821</v>
      </c>
      <c r="I42">
        <v>0.83333333333333337</v>
      </c>
      <c r="J42">
        <v>0</v>
      </c>
      <c r="K42">
        <v>1300000000</v>
      </c>
      <c r="L42">
        <v>3</v>
      </c>
      <c r="M42">
        <v>140</v>
      </c>
      <c r="N42">
        <v>162</v>
      </c>
      <c r="P42">
        <v>2</v>
      </c>
      <c r="R42">
        <v>1</v>
      </c>
      <c r="S42">
        <v>1</v>
      </c>
      <c r="U42" t="s">
        <v>195</v>
      </c>
    </row>
    <row r="43" spans="1:21" x14ac:dyDescent="0.3">
      <c r="A43" t="s">
        <v>22</v>
      </c>
      <c r="B43" t="s">
        <v>23</v>
      </c>
      <c r="C43" t="s">
        <v>24</v>
      </c>
      <c r="D43">
        <v>14</v>
      </c>
      <c r="E43">
        <v>2</v>
      </c>
      <c r="F43" t="s">
        <v>202</v>
      </c>
      <c r="G43" t="s">
        <v>126</v>
      </c>
      <c r="H43">
        <v>7980</v>
      </c>
      <c r="I43">
        <v>1</v>
      </c>
      <c r="J43">
        <v>1</v>
      </c>
      <c r="K43">
        <v>900000000</v>
      </c>
      <c r="L43">
        <v>3</v>
      </c>
      <c r="M43">
        <v>90</v>
      </c>
      <c r="N43">
        <v>90</v>
      </c>
      <c r="P43">
        <v>2</v>
      </c>
      <c r="R43">
        <v>1</v>
      </c>
      <c r="S43">
        <v>1</v>
      </c>
      <c r="T43" t="s">
        <v>112</v>
      </c>
      <c r="U43" t="s">
        <v>193</v>
      </c>
    </row>
    <row r="44" spans="1:21" x14ac:dyDescent="0.3">
      <c r="A44" t="s">
        <v>22</v>
      </c>
      <c r="B44" t="s">
        <v>23</v>
      </c>
      <c r="C44" t="s">
        <v>24</v>
      </c>
      <c r="D44">
        <v>14</v>
      </c>
      <c r="E44">
        <v>3</v>
      </c>
      <c r="F44" t="s">
        <v>203</v>
      </c>
      <c r="G44" t="s">
        <v>200</v>
      </c>
      <c r="H44">
        <v>8307</v>
      </c>
      <c r="I44">
        <v>0.83333333333333337</v>
      </c>
      <c r="J44">
        <v>0</v>
      </c>
      <c r="K44">
        <v>1650000000</v>
      </c>
      <c r="L44">
        <v>3</v>
      </c>
      <c r="M44">
        <v>160</v>
      </c>
      <c r="N44">
        <v>120</v>
      </c>
      <c r="P44">
        <v>2</v>
      </c>
      <c r="R44">
        <v>1</v>
      </c>
      <c r="S44">
        <v>1</v>
      </c>
      <c r="T44" t="s">
        <v>133</v>
      </c>
      <c r="U44" t="s">
        <v>195</v>
      </c>
    </row>
    <row r="45" spans="1:21" x14ac:dyDescent="0.3">
      <c r="A45" t="s">
        <v>22</v>
      </c>
      <c r="B45" t="s">
        <v>23</v>
      </c>
      <c r="C45" t="s">
        <v>24</v>
      </c>
      <c r="D45">
        <v>14</v>
      </c>
      <c r="E45">
        <v>4</v>
      </c>
      <c r="F45" t="s">
        <v>204</v>
      </c>
      <c r="G45" t="s">
        <v>135</v>
      </c>
      <c r="H45">
        <v>9826</v>
      </c>
      <c r="I45">
        <v>0.83333333333333337</v>
      </c>
      <c r="J45">
        <v>0</v>
      </c>
      <c r="K45">
        <v>2500000000</v>
      </c>
      <c r="L45">
        <v>6</v>
      </c>
      <c r="M45">
        <v>300</v>
      </c>
      <c r="N45">
        <v>368</v>
      </c>
      <c r="P45">
        <v>2</v>
      </c>
      <c r="R45">
        <v>1</v>
      </c>
      <c r="S45">
        <v>1</v>
      </c>
      <c r="T45" t="s">
        <v>119</v>
      </c>
      <c r="U45" t="s">
        <v>195</v>
      </c>
    </row>
    <row r="46" spans="1:21" x14ac:dyDescent="0.3">
      <c r="A46" t="s">
        <v>22</v>
      </c>
      <c r="B46" t="s">
        <v>23</v>
      </c>
      <c r="C46" t="s">
        <v>24</v>
      </c>
      <c r="D46">
        <v>14</v>
      </c>
      <c r="E46">
        <v>5</v>
      </c>
      <c r="F46" t="s">
        <v>205</v>
      </c>
      <c r="G46" t="s">
        <v>130</v>
      </c>
      <c r="H46">
        <v>9724</v>
      </c>
      <c r="I46">
        <v>0.83333333333333337</v>
      </c>
      <c r="J46">
        <v>0</v>
      </c>
      <c r="K46">
        <v>1300000000</v>
      </c>
      <c r="L46">
        <v>3</v>
      </c>
      <c r="M46">
        <v>144</v>
      </c>
      <c r="N46">
        <v>84</v>
      </c>
      <c r="P46">
        <v>2</v>
      </c>
      <c r="R46">
        <v>1</v>
      </c>
      <c r="S46">
        <v>1</v>
      </c>
      <c r="U46" t="s">
        <v>195</v>
      </c>
    </row>
    <row r="47" spans="1:21" x14ac:dyDescent="0.3">
      <c r="A47" t="s">
        <v>22</v>
      </c>
      <c r="B47" t="s">
        <v>23</v>
      </c>
      <c r="C47" t="s">
        <v>24</v>
      </c>
      <c r="D47">
        <v>15</v>
      </c>
      <c r="E47">
        <v>1</v>
      </c>
      <c r="F47" t="s">
        <v>201</v>
      </c>
      <c r="G47" t="s">
        <v>128</v>
      </c>
      <c r="H47">
        <v>9821</v>
      </c>
      <c r="I47">
        <v>0.83333333333333337</v>
      </c>
      <c r="J47">
        <v>0</v>
      </c>
      <c r="K47">
        <v>1300000000</v>
      </c>
      <c r="L47">
        <v>3</v>
      </c>
      <c r="M47">
        <v>140</v>
      </c>
      <c r="N47">
        <v>162</v>
      </c>
      <c r="P47">
        <v>2</v>
      </c>
      <c r="R47">
        <v>1</v>
      </c>
      <c r="S47">
        <v>1</v>
      </c>
      <c r="U47" t="s">
        <v>195</v>
      </c>
    </row>
    <row r="48" spans="1:21" x14ac:dyDescent="0.3">
      <c r="A48" t="s">
        <v>22</v>
      </c>
      <c r="B48" t="s">
        <v>23</v>
      </c>
      <c r="C48" t="s">
        <v>24</v>
      </c>
      <c r="D48">
        <v>15</v>
      </c>
      <c r="E48">
        <v>2</v>
      </c>
      <c r="F48" t="s">
        <v>202</v>
      </c>
      <c r="G48" t="s">
        <v>126</v>
      </c>
      <c r="H48">
        <v>7980</v>
      </c>
      <c r="I48">
        <v>1</v>
      </c>
      <c r="J48">
        <v>1</v>
      </c>
      <c r="K48">
        <v>900000000</v>
      </c>
      <c r="L48">
        <v>3</v>
      </c>
      <c r="M48">
        <v>90</v>
      </c>
      <c r="N48">
        <v>90</v>
      </c>
      <c r="P48">
        <v>2</v>
      </c>
      <c r="R48">
        <v>1</v>
      </c>
      <c r="S48">
        <v>1</v>
      </c>
      <c r="T48" t="s">
        <v>112</v>
      </c>
      <c r="U48" t="s">
        <v>193</v>
      </c>
    </row>
    <row r="49" spans="1:21" x14ac:dyDescent="0.3">
      <c r="A49" t="s">
        <v>22</v>
      </c>
      <c r="B49" t="s">
        <v>23</v>
      </c>
      <c r="C49" t="s">
        <v>24</v>
      </c>
      <c r="D49">
        <v>15</v>
      </c>
      <c r="E49">
        <v>3</v>
      </c>
      <c r="F49" t="s">
        <v>203</v>
      </c>
      <c r="G49" t="s">
        <v>200</v>
      </c>
      <c r="H49">
        <v>8307</v>
      </c>
      <c r="I49">
        <v>0.83333333333333337</v>
      </c>
      <c r="J49">
        <v>0</v>
      </c>
      <c r="K49">
        <v>1650000000</v>
      </c>
      <c r="L49">
        <v>3</v>
      </c>
      <c r="M49">
        <v>160</v>
      </c>
      <c r="N49">
        <v>120</v>
      </c>
      <c r="P49">
        <v>2</v>
      </c>
      <c r="R49">
        <v>1</v>
      </c>
      <c r="S49">
        <v>1</v>
      </c>
      <c r="T49" t="s">
        <v>133</v>
      </c>
      <c r="U49" t="s">
        <v>195</v>
      </c>
    </row>
    <row r="50" spans="1:21" x14ac:dyDescent="0.3">
      <c r="A50" t="s">
        <v>22</v>
      </c>
      <c r="B50" t="s">
        <v>23</v>
      </c>
      <c r="C50" t="s">
        <v>24</v>
      </c>
      <c r="D50">
        <v>15</v>
      </c>
      <c r="E50">
        <v>4</v>
      </c>
      <c r="F50" t="s">
        <v>204</v>
      </c>
      <c r="G50" t="s">
        <v>135</v>
      </c>
      <c r="H50">
        <v>9826</v>
      </c>
      <c r="I50">
        <v>0.83333333333333337</v>
      </c>
      <c r="J50">
        <v>0</v>
      </c>
      <c r="K50">
        <v>2500000000</v>
      </c>
      <c r="L50">
        <v>6</v>
      </c>
      <c r="M50">
        <v>300</v>
      </c>
      <c r="N50">
        <v>368</v>
      </c>
      <c r="P50">
        <v>2</v>
      </c>
      <c r="R50">
        <v>1</v>
      </c>
      <c r="S50">
        <v>1</v>
      </c>
      <c r="T50" t="s">
        <v>119</v>
      </c>
      <c r="U50" t="s">
        <v>195</v>
      </c>
    </row>
    <row r="51" spans="1:21" x14ac:dyDescent="0.3">
      <c r="A51" t="s">
        <v>22</v>
      </c>
      <c r="B51" t="s">
        <v>23</v>
      </c>
      <c r="C51" t="s">
        <v>24</v>
      </c>
      <c r="D51">
        <v>15</v>
      </c>
      <c r="E51">
        <v>5</v>
      </c>
      <c r="F51" t="s">
        <v>206</v>
      </c>
      <c r="G51" t="s">
        <v>207</v>
      </c>
      <c r="H51">
        <v>9052</v>
      </c>
      <c r="I51">
        <v>0.83333333333333337</v>
      </c>
      <c r="J51">
        <v>0</v>
      </c>
      <c r="K51">
        <v>2500000000</v>
      </c>
      <c r="L51">
        <v>4</v>
      </c>
      <c r="M51">
        <v>200</v>
      </c>
      <c r="N51">
        <v>333</v>
      </c>
      <c r="P51">
        <v>1</v>
      </c>
      <c r="R51">
        <v>1</v>
      </c>
      <c r="S51">
        <v>1</v>
      </c>
      <c r="T51" t="s">
        <v>133</v>
      </c>
      <c r="U51" t="s">
        <v>195</v>
      </c>
    </row>
    <row r="52" spans="1:21" x14ac:dyDescent="0.3">
      <c r="A52" t="s">
        <v>22</v>
      </c>
      <c r="B52" t="s">
        <v>23</v>
      </c>
      <c r="C52" t="s">
        <v>24</v>
      </c>
      <c r="D52">
        <v>16</v>
      </c>
      <c r="E52">
        <v>1</v>
      </c>
      <c r="F52" t="s">
        <v>208</v>
      </c>
      <c r="G52" t="s">
        <v>209</v>
      </c>
      <c r="H52">
        <v>9658</v>
      </c>
      <c r="I52">
        <v>0.5714285714285714</v>
      </c>
      <c r="J52">
        <v>0</v>
      </c>
      <c r="K52">
        <v>4800000000</v>
      </c>
      <c r="L52">
        <v>3</v>
      </c>
      <c r="M52">
        <v>640</v>
      </c>
      <c r="N52">
        <v>248</v>
      </c>
      <c r="P52">
        <v>4</v>
      </c>
      <c r="R52">
        <v>2</v>
      </c>
      <c r="S52">
        <v>1</v>
      </c>
      <c r="T52" t="s">
        <v>119</v>
      </c>
      <c r="U52" t="s">
        <v>210</v>
      </c>
    </row>
    <row r="53" spans="1:21" x14ac:dyDescent="0.3">
      <c r="A53" t="s">
        <v>22</v>
      </c>
      <c r="B53" t="s">
        <v>23</v>
      </c>
      <c r="C53" t="s">
        <v>24</v>
      </c>
      <c r="D53">
        <v>17</v>
      </c>
      <c r="E53">
        <v>1</v>
      </c>
      <c r="F53" t="s">
        <v>201</v>
      </c>
      <c r="G53" t="s">
        <v>128</v>
      </c>
      <c r="H53">
        <v>9821</v>
      </c>
      <c r="I53">
        <v>0.7142857142857143</v>
      </c>
      <c r="J53">
        <v>0</v>
      </c>
      <c r="K53">
        <v>1300000000</v>
      </c>
      <c r="L53">
        <v>3</v>
      </c>
      <c r="M53">
        <v>140</v>
      </c>
      <c r="N53">
        <v>162</v>
      </c>
      <c r="P53">
        <v>2</v>
      </c>
      <c r="R53">
        <v>1</v>
      </c>
      <c r="S53">
        <v>1</v>
      </c>
      <c r="U53" t="s">
        <v>211</v>
      </c>
    </row>
    <row r="54" spans="1:21" x14ac:dyDescent="0.3">
      <c r="A54" t="s">
        <v>22</v>
      </c>
      <c r="B54" t="s">
        <v>23</v>
      </c>
      <c r="C54" t="s">
        <v>24</v>
      </c>
      <c r="D54">
        <v>17</v>
      </c>
      <c r="E54">
        <v>2</v>
      </c>
      <c r="F54" t="s">
        <v>202</v>
      </c>
      <c r="G54" t="s">
        <v>126</v>
      </c>
      <c r="H54">
        <v>7980</v>
      </c>
      <c r="I54">
        <v>0.8571428571428571</v>
      </c>
      <c r="J54">
        <v>0</v>
      </c>
      <c r="K54">
        <v>900000000</v>
      </c>
      <c r="L54">
        <v>3</v>
      </c>
      <c r="M54">
        <v>90</v>
      </c>
      <c r="N54">
        <v>90</v>
      </c>
      <c r="P54">
        <v>2</v>
      </c>
      <c r="R54">
        <v>1</v>
      </c>
      <c r="S54">
        <v>1</v>
      </c>
      <c r="T54" t="s">
        <v>112</v>
      </c>
      <c r="U54" t="s">
        <v>212</v>
      </c>
    </row>
    <row r="55" spans="1:21" x14ac:dyDescent="0.3">
      <c r="A55" t="s">
        <v>22</v>
      </c>
      <c r="B55" t="s">
        <v>23</v>
      </c>
      <c r="C55" t="s">
        <v>24</v>
      </c>
      <c r="D55">
        <v>17</v>
      </c>
      <c r="E55">
        <v>3</v>
      </c>
      <c r="F55" t="s">
        <v>205</v>
      </c>
      <c r="G55" t="s">
        <v>130</v>
      </c>
      <c r="H55">
        <v>9724</v>
      </c>
      <c r="I55">
        <v>0.7142857142857143</v>
      </c>
      <c r="J55">
        <v>0</v>
      </c>
      <c r="K55">
        <v>1300000000</v>
      </c>
      <c r="L55">
        <v>3</v>
      </c>
      <c r="M55">
        <v>144</v>
      </c>
      <c r="N55">
        <v>84</v>
      </c>
      <c r="P55">
        <v>2</v>
      </c>
      <c r="R55">
        <v>1</v>
      </c>
      <c r="S55">
        <v>1</v>
      </c>
      <c r="U55" t="s">
        <v>211</v>
      </c>
    </row>
    <row r="56" spans="1:21" x14ac:dyDescent="0.3">
      <c r="A56" t="s">
        <v>22</v>
      </c>
      <c r="B56" t="s">
        <v>23</v>
      </c>
      <c r="C56" t="s">
        <v>24</v>
      </c>
      <c r="D56">
        <v>17</v>
      </c>
      <c r="E56">
        <v>4</v>
      </c>
      <c r="F56" t="s">
        <v>203</v>
      </c>
      <c r="G56" t="s">
        <v>200</v>
      </c>
      <c r="H56">
        <v>8307</v>
      </c>
      <c r="I56">
        <v>0.7142857142857143</v>
      </c>
      <c r="J56">
        <v>0</v>
      </c>
      <c r="K56">
        <v>1650000000</v>
      </c>
      <c r="L56">
        <v>3</v>
      </c>
      <c r="M56">
        <v>160</v>
      </c>
      <c r="N56">
        <v>120</v>
      </c>
      <c r="P56">
        <v>2</v>
      </c>
      <c r="R56">
        <v>1</v>
      </c>
      <c r="S56">
        <v>1</v>
      </c>
      <c r="T56" t="s">
        <v>133</v>
      </c>
      <c r="U56" t="s">
        <v>211</v>
      </c>
    </row>
    <row r="57" spans="1:21" x14ac:dyDescent="0.3">
      <c r="A57" t="s">
        <v>22</v>
      </c>
      <c r="B57" t="s">
        <v>23</v>
      </c>
      <c r="C57" t="s">
        <v>24</v>
      </c>
      <c r="D57">
        <v>17</v>
      </c>
      <c r="E57">
        <v>5</v>
      </c>
      <c r="F57" t="s">
        <v>206</v>
      </c>
      <c r="G57" t="s">
        <v>207</v>
      </c>
      <c r="H57">
        <v>9052</v>
      </c>
      <c r="I57">
        <v>0.7142857142857143</v>
      </c>
      <c r="J57">
        <v>0</v>
      </c>
      <c r="K57">
        <v>2500000000</v>
      </c>
      <c r="L57">
        <v>4</v>
      </c>
      <c r="M57">
        <v>200</v>
      </c>
      <c r="N57">
        <v>333</v>
      </c>
      <c r="P57">
        <v>1</v>
      </c>
      <c r="R57">
        <v>1</v>
      </c>
      <c r="S57">
        <v>1</v>
      </c>
      <c r="T57" t="s">
        <v>133</v>
      </c>
      <c r="U57" t="s">
        <v>211</v>
      </c>
    </row>
    <row r="58" spans="1:21" x14ac:dyDescent="0.3">
      <c r="A58" t="s">
        <v>22</v>
      </c>
      <c r="B58" t="s">
        <v>23</v>
      </c>
      <c r="C58" t="s">
        <v>24</v>
      </c>
      <c r="D58">
        <v>19</v>
      </c>
      <c r="E58">
        <v>1</v>
      </c>
      <c r="F58" t="s">
        <v>213</v>
      </c>
      <c r="G58" t="s">
        <v>214</v>
      </c>
      <c r="H58">
        <v>7801</v>
      </c>
      <c r="I58">
        <v>1</v>
      </c>
      <c r="J58">
        <v>1</v>
      </c>
      <c r="K58">
        <v>3500000000</v>
      </c>
      <c r="L58">
        <v>5</v>
      </c>
      <c r="M58">
        <v>0</v>
      </c>
      <c r="N58">
        <v>500</v>
      </c>
      <c r="P58">
        <v>2</v>
      </c>
      <c r="Q58" t="s">
        <v>140</v>
      </c>
      <c r="R58">
        <v>1</v>
      </c>
      <c r="S58">
        <v>1</v>
      </c>
      <c r="U58" t="s">
        <v>215</v>
      </c>
    </row>
    <row r="59" spans="1:21" x14ac:dyDescent="0.3">
      <c r="A59" t="s">
        <v>22</v>
      </c>
      <c r="B59" t="s">
        <v>23</v>
      </c>
      <c r="C59" t="s">
        <v>24</v>
      </c>
      <c r="D59">
        <v>19</v>
      </c>
      <c r="E59">
        <v>2</v>
      </c>
      <c r="F59" t="s">
        <v>216</v>
      </c>
      <c r="G59" t="s">
        <v>217</v>
      </c>
      <c r="H59">
        <v>7184</v>
      </c>
      <c r="I59">
        <v>1</v>
      </c>
      <c r="J59">
        <v>1</v>
      </c>
      <c r="K59">
        <v>4500000000</v>
      </c>
      <c r="L59">
        <v>4</v>
      </c>
      <c r="M59">
        <v>199</v>
      </c>
      <c r="N59">
        <v>199</v>
      </c>
      <c r="P59">
        <v>2</v>
      </c>
      <c r="R59">
        <v>1</v>
      </c>
      <c r="S59">
        <v>1</v>
      </c>
      <c r="U59" t="s">
        <v>215</v>
      </c>
    </row>
    <row r="60" spans="1:21" x14ac:dyDescent="0.3">
      <c r="A60" t="s">
        <v>22</v>
      </c>
      <c r="B60" t="s">
        <v>23</v>
      </c>
      <c r="C60" t="s">
        <v>24</v>
      </c>
      <c r="D60">
        <v>20</v>
      </c>
      <c r="E60">
        <v>1</v>
      </c>
      <c r="F60" t="s">
        <v>218</v>
      </c>
      <c r="G60" t="s">
        <v>214</v>
      </c>
      <c r="H60">
        <v>7801</v>
      </c>
      <c r="I60">
        <v>1</v>
      </c>
      <c r="J60">
        <v>1</v>
      </c>
      <c r="K60">
        <v>3500000000</v>
      </c>
      <c r="L60">
        <v>5</v>
      </c>
      <c r="M60">
        <v>0</v>
      </c>
      <c r="N60">
        <v>500</v>
      </c>
      <c r="P60">
        <v>2</v>
      </c>
      <c r="Q60" t="s">
        <v>140</v>
      </c>
      <c r="R60">
        <v>1</v>
      </c>
      <c r="S60">
        <v>1</v>
      </c>
      <c r="U60" t="s">
        <v>215</v>
      </c>
    </row>
    <row r="61" spans="1:21" x14ac:dyDescent="0.3">
      <c r="A61" t="s">
        <v>22</v>
      </c>
      <c r="B61" t="s">
        <v>23</v>
      </c>
      <c r="C61" t="s">
        <v>24</v>
      </c>
      <c r="D61">
        <v>20</v>
      </c>
      <c r="E61">
        <v>2</v>
      </c>
      <c r="F61" t="s">
        <v>219</v>
      </c>
      <c r="G61" t="s">
        <v>220</v>
      </c>
      <c r="H61">
        <v>9849</v>
      </c>
      <c r="I61">
        <v>0.5</v>
      </c>
      <c r="J61">
        <v>0</v>
      </c>
      <c r="K61">
        <v>2550000000</v>
      </c>
      <c r="L61">
        <v>4</v>
      </c>
      <c r="M61">
        <v>216</v>
      </c>
      <c r="N61">
        <v>90</v>
      </c>
      <c r="P61">
        <v>3</v>
      </c>
      <c r="R61">
        <v>1</v>
      </c>
      <c r="S61">
        <v>1</v>
      </c>
      <c r="T61" t="s">
        <v>112</v>
      </c>
      <c r="U61" t="s">
        <v>221</v>
      </c>
    </row>
    <row r="62" spans="1:21" x14ac:dyDescent="0.3">
      <c r="A62" t="s">
        <v>22</v>
      </c>
      <c r="B62" t="s">
        <v>23</v>
      </c>
      <c r="C62" t="s">
        <v>24</v>
      </c>
      <c r="D62">
        <v>20</v>
      </c>
      <c r="E62">
        <v>3</v>
      </c>
      <c r="F62" t="s">
        <v>222</v>
      </c>
      <c r="G62" t="s">
        <v>223</v>
      </c>
      <c r="H62">
        <v>9613</v>
      </c>
      <c r="I62">
        <v>0.5</v>
      </c>
      <c r="J62">
        <v>0</v>
      </c>
      <c r="K62">
        <v>2800000000</v>
      </c>
      <c r="L62">
        <v>3</v>
      </c>
      <c r="M62">
        <v>230</v>
      </c>
      <c r="N62">
        <v>160</v>
      </c>
      <c r="P62">
        <v>2</v>
      </c>
      <c r="Q62" t="s">
        <v>140</v>
      </c>
      <c r="R62">
        <v>1</v>
      </c>
      <c r="S62">
        <v>1</v>
      </c>
      <c r="U62" t="s">
        <v>221</v>
      </c>
    </row>
    <row r="63" spans="1:21" x14ac:dyDescent="0.3">
      <c r="A63" t="s">
        <v>22</v>
      </c>
      <c r="B63" t="s">
        <v>23</v>
      </c>
      <c r="C63" t="s">
        <v>24</v>
      </c>
      <c r="D63">
        <v>20</v>
      </c>
      <c r="E63">
        <v>4</v>
      </c>
      <c r="F63" t="s">
        <v>224</v>
      </c>
      <c r="G63" t="s">
        <v>225</v>
      </c>
      <c r="H63">
        <v>9661</v>
      </c>
      <c r="I63">
        <v>0.5</v>
      </c>
      <c r="J63">
        <v>0</v>
      </c>
      <c r="K63">
        <v>2100000000</v>
      </c>
      <c r="L63">
        <v>5</v>
      </c>
      <c r="M63">
        <v>200</v>
      </c>
      <c r="N63">
        <v>155</v>
      </c>
      <c r="P63">
        <v>2</v>
      </c>
      <c r="Q63" t="s">
        <v>140</v>
      </c>
      <c r="R63">
        <v>1</v>
      </c>
      <c r="S63">
        <v>1</v>
      </c>
      <c r="U63" t="s">
        <v>221</v>
      </c>
    </row>
    <row r="64" spans="1:21" x14ac:dyDescent="0.3">
      <c r="A64" t="s">
        <v>22</v>
      </c>
      <c r="B64" t="s">
        <v>23</v>
      </c>
      <c r="C64" t="s">
        <v>24</v>
      </c>
      <c r="D64">
        <v>20</v>
      </c>
      <c r="E64">
        <v>5</v>
      </c>
      <c r="F64" t="s">
        <v>226</v>
      </c>
      <c r="G64" t="s">
        <v>227</v>
      </c>
      <c r="H64">
        <v>7217</v>
      </c>
      <c r="I64">
        <v>0.5</v>
      </c>
      <c r="J64">
        <v>0</v>
      </c>
      <c r="K64">
        <v>1800000000</v>
      </c>
      <c r="L64">
        <v>5</v>
      </c>
      <c r="M64">
        <v>223</v>
      </c>
      <c r="N64">
        <v>128</v>
      </c>
      <c r="P64">
        <v>2</v>
      </c>
      <c r="R64">
        <v>1</v>
      </c>
      <c r="S64">
        <v>1</v>
      </c>
      <c r="T64" t="s">
        <v>133</v>
      </c>
      <c r="U64" t="s">
        <v>221</v>
      </c>
    </row>
    <row r="65" spans="1:21" x14ac:dyDescent="0.3">
      <c r="A65" t="s">
        <v>22</v>
      </c>
      <c r="B65" t="s">
        <v>23</v>
      </c>
      <c r="C65" t="s">
        <v>24</v>
      </c>
      <c r="D65">
        <v>21</v>
      </c>
      <c r="E65">
        <v>1</v>
      </c>
      <c r="F65" t="s">
        <v>228</v>
      </c>
      <c r="G65" t="s">
        <v>229</v>
      </c>
      <c r="H65">
        <v>9994</v>
      </c>
      <c r="I65">
        <v>1</v>
      </c>
      <c r="J65">
        <v>1</v>
      </c>
      <c r="K65">
        <v>650000000</v>
      </c>
      <c r="L65">
        <v>2</v>
      </c>
      <c r="M65">
        <v>60</v>
      </c>
      <c r="N65">
        <v>90</v>
      </c>
      <c r="P65">
        <v>1</v>
      </c>
      <c r="Q65" t="s">
        <v>140</v>
      </c>
      <c r="R65">
        <v>1</v>
      </c>
      <c r="S65">
        <v>1</v>
      </c>
      <c r="U65" t="s">
        <v>230</v>
      </c>
    </row>
    <row r="66" spans="1:21" x14ac:dyDescent="0.3">
      <c r="A66" t="s">
        <v>22</v>
      </c>
      <c r="B66" t="s">
        <v>23</v>
      </c>
      <c r="C66" t="s">
        <v>24</v>
      </c>
      <c r="D66">
        <v>21</v>
      </c>
      <c r="E66">
        <v>2</v>
      </c>
      <c r="F66" t="s">
        <v>231</v>
      </c>
      <c r="G66" t="s">
        <v>232</v>
      </c>
      <c r="H66">
        <v>7667</v>
      </c>
      <c r="I66">
        <v>0</v>
      </c>
      <c r="J66">
        <v>0</v>
      </c>
      <c r="K66">
        <v>3499999999</v>
      </c>
      <c r="L66">
        <v>4</v>
      </c>
      <c r="M66">
        <v>456</v>
      </c>
      <c r="N66">
        <v>171</v>
      </c>
      <c r="P66">
        <v>4</v>
      </c>
      <c r="R66">
        <v>1</v>
      </c>
      <c r="S66">
        <v>1</v>
      </c>
      <c r="U66" t="s">
        <v>233</v>
      </c>
    </row>
    <row r="67" spans="1:21" x14ac:dyDescent="0.3">
      <c r="A67" t="s">
        <v>22</v>
      </c>
      <c r="B67" t="s">
        <v>23</v>
      </c>
      <c r="C67" t="s">
        <v>24</v>
      </c>
      <c r="D67">
        <v>22</v>
      </c>
      <c r="E67">
        <v>1</v>
      </c>
      <c r="F67" t="s">
        <v>134</v>
      </c>
      <c r="G67" t="s">
        <v>135</v>
      </c>
      <c r="H67">
        <v>9826</v>
      </c>
      <c r="I67">
        <v>1</v>
      </c>
      <c r="J67">
        <v>1</v>
      </c>
      <c r="K67">
        <v>2500000000</v>
      </c>
      <c r="L67">
        <v>6</v>
      </c>
      <c r="M67">
        <v>300</v>
      </c>
      <c r="N67">
        <v>368</v>
      </c>
      <c r="P67">
        <v>2</v>
      </c>
      <c r="R67">
        <v>1</v>
      </c>
      <c r="S67">
        <v>1</v>
      </c>
      <c r="T67" t="s">
        <v>119</v>
      </c>
      <c r="U67" t="s">
        <v>230</v>
      </c>
    </row>
    <row r="68" spans="1:21" x14ac:dyDescent="0.3">
      <c r="A68" t="s">
        <v>22</v>
      </c>
      <c r="B68" t="s">
        <v>23</v>
      </c>
      <c r="C68" t="s">
        <v>24</v>
      </c>
      <c r="D68">
        <v>22</v>
      </c>
      <c r="E68">
        <v>2</v>
      </c>
      <c r="F68" t="s">
        <v>234</v>
      </c>
      <c r="G68" t="s">
        <v>235</v>
      </c>
      <c r="H68">
        <v>4350</v>
      </c>
      <c r="I68">
        <v>1</v>
      </c>
      <c r="J68">
        <v>1</v>
      </c>
      <c r="K68">
        <v>2800000000</v>
      </c>
      <c r="L68">
        <v>4</v>
      </c>
      <c r="M68">
        <v>340</v>
      </c>
      <c r="N68">
        <v>360</v>
      </c>
      <c r="P68">
        <v>2</v>
      </c>
      <c r="R68">
        <v>1</v>
      </c>
      <c r="S68">
        <v>1</v>
      </c>
      <c r="U68" t="s">
        <v>233</v>
      </c>
    </row>
    <row r="69" spans="1:21" x14ac:dyDescent="0.3">
      <c r="A69" t="s">
        <v>22</v>
      </c>
      <c r="B69" t="s">
        <v>23</v>
      </c>
      <c r="C69" t="s">
        <v>24</v>
      </c>
      <c r="D69">
        <v>22</v>
      </c>
      <c r="E69">
        <v>3</v>
      </c>
      <c r="F69" t="s">
        <v>236</v>
      </c>
      <c r="G69" t="s">
        <v>237</v>
      </c>
      <c r="H69">
        <v>529</v>
      </c>
      <c r="I69">
        <v>1</v>
      </c>
      <c r="J69">
        <v>1</v>
      </c>
      <c r="K69">
        <v>2500000000</v>
      </c>
      <c r="L69">
        <v>4</v>
      </c>
      <c r="M69">
        <v>300</v>
      </c>
      <c r="N69">
        <v>450</v>
      </c>
      <c r="P69">
        <v>1</v>
      </c>
      <c r="R69">
        <v>1</v>
      </c>
      <c r="S69">
        <v>1</v>
      </c>
      <c r="U69" t="s">
        <v>233</v>
      </c>
    </row>
    <row r="70" spans="1:21" x14ac:dyDescent="0.3">
      <c r="A70" t="s">
        <v>22</v>
      </c>
      <c r="B70" t="s">
        <v>23</v>
      </c>
      <c r="C70" t="s">
        <v>24</v>
      </c>
      <c r="D70">
        <v>22</v>
      </c>
      <c r="E70">
        <v>4</v>
      </c>
      <c r="F70" t="s">
        <v>238</v>
      </c>
      <c r="G70" t="s">
        <v>239</v>
      </c>
      <c r="H70">
        <v>4630</v>
      </c>
      <c r="I70">
        <v>1</v>
      </c>
      <c r="J70">
        <v>1</v>
      </c>
      <c r="K70">
        <v>2200000000</v>
      </c>
      <c r="L70">
        <v>4</v>
      </c>
      <c r="M70">
        <v>188</v>
      </c>
      <c r="N70">
        <v>318</v>
      </c>
      <c r="P70">
        <v>1</v>
      </c>
      <c r="Q70" t="s">
        <v>144</v>
      </c>
      <c r="R70">
        <v>1</v>
      </c>
      <c r="S70">
        <v>1</v>
      </c>
      <c r="T70" t="s">
        <v>119</v>
      </c>
      <c r="U70" t="s">
        <v>233</v>
      </c>
    </row>
    <row r="71" spans="1:21" x14ac:dyDescent="0.3">
      <c r="A71" t="s">
        <v>22</v>
      </c>
      <c r="B71" t="s">
        <v>23</v>
      </c>
      <c r="C71" t="s">
        <v>24</v>
      </c>
      <c r="D71">
        <v>22</v>
      </c>
      <c r="E71">
        <v>5</v>
      </c>
      <c r="F71" t="s">
        <v>213</v>
      </c>
      <c r="G71" t="s">
        <v>214</v>
      </c>
      <c r="H71">
        <v>7801</v>
      </c>
      <c r="I71">
        <v>1</v>
      </c>
      <c r="J71">
        <v>1</v>
      </c>
      <c r="K71">
        <v>3500000000</v>
      </c>
      <c r="L71">
        <v>5</v>
      </c>
      <c r="M71">
        <v>0</v>
      </c>
      <c r="N71">
        <v>500</v>
      </c>
      <c r="P71">
        <v>2</v>
      </c>
      <c r="Q71" t="s">
        <v>140</v>
      </c>
      <c r="R71">
        <v>1</v>
      </c>
      <c r="S71">
        <v>1</v>
      </c>
      <c r="U71" t="s">
        <v>233</v>
      </c>
    </row>
    <row r="72" spans="1:21" x14ac:dyDescent="0.3">
      <c r="A72" t="s">
        <v>22</v>
      </c>
      <c r="B72" t="s">
        <v>23</v>
      </c>
      <c r="C72" t="s">
        <v>24</v>
      </c>
      <c r="D72">
        <v>23</v>
      </c>
      <c r="E72">
        <v>1</v>
      </c>
      <c r="F72" t="s">
        <v>240</v>
      </c>
      <c r="G72" t="s">
        <v>241</v>
      </c>
      <c r="H72">
        <v>758</v>
      </c>
      <c r="I72">
        <v>1</v>
      </c>
      <c r="J72">
        <v>1</v>
      </c>
      <c r="K72">
        <v>850000000</v>
      </c>
      <c r="L72">
        <v>3</v>
      </c>
      <c r="M72">
        <v>130</v>
      </c>
      <c r="N72">
        <v>63</v>
      </c>
      <c r="P72">
        <v>2</v>
      </c>
      <c r="R72">
        <v>1</v>
      </c>
      <c r="S72">
        <v>1</v>
      </c>
      <c r="T72" t="s">
        <v>119</v>
      </c>
      <c r="U72" t="s">
        <v>230</v>
      </c>
    </row>
    <row r="73" spans="1:21" x14ac:dyDescent="0.3">
      <c r="A73" t="s">
        <v>22</v>
      </c>
      <c r="B73" t="s">
        <v>23</v>
      </c>
      <c r="C73" t="s">
        <v>24</v>
      </c>
      <c r="D73">
        <v>23</v>
      </c>
      <c r="E73">
        <v>2</v>
      </c>
      <c r="F73" t="s">
        <v>242</v>
      </c>
      <c r="G73" t="s">
        <v>243</v>
      </c>
      <c r="H73">
        <v>7732</v>
      </c>
      <c r="I73">
        <v>0</v>
      </c>
      <c r="J73">
        <v>0</v>
      </c>
      <c r="K73">
        <v>1700000000</v>
      </c>
      <c r="L73">
        <v>3</v>
      </c>
      <c r="M73">
        <v>180</v>
      </c>
      <c r="N73">
        <v>135</v>
      </c>
      <c r="P73">
        <v>2</v>
      </c>
      <c r="Q73" t="s">
        <v>140</v>
      </c>
      <c r="R73">
        <v>1</v>
      </c>
      <c r="S73">
        <v>1</v>
      </c>
      <c r="T73" t="s">
        <v>133</v>
      </c>
      <c r="U73" t="s">
        <v>233</v>
      </c>
    </row>
    <row r="74" spans="1:21" x14ac:dyDescent="0.3">
      <c r="A74" t="s">
        <v>22</v>
      </c>
      <c r="B74" t="s">
        <v>23</v>
      </c>
      <c r="C74" t="s">
        <v>24</v>
      </c>
      <c r="D74">
        <v>23</v>
      </c>
      <c r="E74">
        <v>3</v>
      </c>
      <c r="F74" t="s">
        <v>226</v>
      </c>
      <c r="G74" t="s">
        <v>227</v>
      </c>
      <c r="H74">
        <v>7217</v>
      </c>
      <c r="I74">
        <v>0</v>
      </c>
      <c r="J74">
        <v>0</v>
      </c>
      <c r="K74">
        <v>1800000000</v>
      </c>
      <c r="L74">
        <v>5</v>
      </c>
      <c r="M74">
        <v>223</v>
      </c>
      <c r="N74">
        <v>128</v>
      </c>
      <c r="P74">
        <v>2</v>
      </c>
      <c r="R74">
        <v>1</v>
      </c>
      <c r="S74">
        <v>1</v>
      </c>
      <c r="T74" t="s">
        <v>133</v>
      </c>
      <c r="U74" t="s">
        <v>233</v>
      </c>
    </row>
    <row r="75" spans="1:21" x14ac:dyDescent="0.3">
      <c r="A75" t="s">
        <v>22</v>
      </c>
      <c r="B75" t="s">
        <v>23</v>
      </c>
      <c r="C75" t="s">
        <v>24</v>
      </c>
      <c r="D75">
        <v>23</v>
      </c>
      <c r="E75">
        <v>4</v>
      </c>
      <c r="F75" t="s">
        <v>219</v>
      </c>
      <c r="G75" t="s">
        <v>220</v>
      </c>
      <c r="H75">
        <v>9849</v>
      </c>
      <c r="I75">
        <v>1</v>
      </c>
      <c r="J75">
        <v>1</v>
      </c>
      <c r="K75">
        <v>2550000000</v>
      </c>
      <c r="L75">
        <v>4</v>
      </c>
      <c r="M75">
        <v>216</v>
      </c>
      <c r="N75">
        <v>90</v>
      </c>
      <c r="P75">
        <v>3</v>
      </c>
      <c r="R75">
        <v>1</v>
      </c>
      <c r="S75">
        <v>1</v>
      </c>
      <c r="T75" t="s">
        <v>112</v>
      </c>
      <c r="U75" t="s">
        <v>230</v>
      </c>
    </row>
    <row r="76" spans="1:21" x14ac:dyDescent="0.3">
      <c r="A76" t="s">
        <v>22</v>
      </c>
      <c r="B76" t="s">
        <v>23</v>
      </c>
      <c r="C76" t="s">
        <v>24</v>
      </c>
      <c r="D76">
        <v>23</v>
      </c>
      <c r="E76">
        <v>5</v>
      </c>
      <c r="F76" t="s">
        <v>244</v>
      </c>
      <c r="G76" t="s">
        <v>245</v>
      </c>
      <c r="H76">
        <v>8105</v>
      </c>
      <c r="I76">
        <v>1</v>
      </c>
      <c r="J76">
        <v>1</v>
      </c>
      <c r="K76">
        <v>2500000000</v>
      </c>
      <c r="L76">
        <v>4</v>
      </c>
      <c r="M76">
        <v>240</v>
      </c>
      <c r="N76">
        <v>220</v>
      </c>
      <c r="P76">
        <v>2</v>
      </c>
      <c r="R76">
        <v>1</v>
      </c>
      <c r="S76">
        <v>1</v>
      </c>
      <c r="U76" t="s">
        <v>230</v>
      </c>
    </row>
    <row r="77" spans="1:21" x14ac:dyDescent="0.3">
      <c r="A77" t="s">
        <v>22</v>
      </c>
      <c r="B77" t="s">
        <v>23</v>
      </c>
      <c r="C77" t="s">
        <v>24</v>
      </c>
      <c r="D77">
        <v>24</v>
      </c>
      <c r="E77">
        <v>1</v>
      </c>
      <c r="F77" t="s">
        <v>246</v>
      </c>
      <c r="G77" t="s">
        <v>247</v>
      </c>
      <c r="H77">
        <v>9869</v>
      </c>
      <c r="I77">
        <v>1</v>
      </c>
      <c r="J77">
        <v>1</v>
      </c>
      <c r="K77">
        <v>750000000</v>
      </c>
      <c r="L77">
        <v>2</v>
      </c>
      <c r="M77">
        <v>80</v>
      </c>
      <c r="N77">
        <v>60</v>
      </c>
      <c r="P77">
        <v>2</v>
      </c>
      <c r="R77">
        <v>1</v>
      </c>
      <c r="S77">
        <v>1</v>
      </c>
      <c r="T77" t="s">
        <v>112</v>
      </c>
      <c r="U77" t="s">
        <v>230</v>
      </c>
    </row>
    <row r="78" spans="1:21" x14ac:dyDescent="0.3">
      <c r="A78" t="s">
        <v>22</v>
      </c>
      <c r="B78" t="s">
        <v>23</v>
      </c>
      <c r="C78" t="s">
        <v>24</v>
      </c>
      <c r="D78">
        <v>24</v>
      </c>
      <c r="E78">
        <v>2</v>
      </c>
      <c r="F78" t="s">
        <v>248</v>
      </c>
      <c r="G78" t="s">
        <v>249</v>
      </c>
      <c r="H78">
        <v>1836</v>
      </c>
      <c r="I78">
        <v>1</v>
      </c>
      <c r="J78">
        <v>1</v>
      </c>
      <c r="K78">
        <v>2200000000</v>
      </c>
      <c r="L78">
        <v>4</v>
      </c>
      <c r="M78">
        <v>360</v>
      </c>
      <c r="N78">
        <v>640</v>
      </c>
      <c r="P78">
        <v>1</v>
      </c>
      <c r="R78">
        <v>1</v>
      </c>
      <c r="S78">
        <v>1</v>
      </c>
      <c r="U78" t="s">
        <v>233</v>
      </c>
    </row>
    <row r="79" spans="1:21" x14ac:dyDescent="0.3">
      <c r="A79" t="s">
        <v>22</v>
      </c>
      <c r="B79" t="s">
        <v>23</v>
      </c>
      <c r="C79" t="s">
        <v>24</v>
      </c>
      <c r="D79">
        <v>24</v>
      </c>
      <c r="E79">
        <v>3</v>
      </c>
      <c r="F79" t="s">
        <v>250</v>
      </c>
      <c r="G79" t="s">
        <v>251</v>
      </c>
      <c r="H79">
        <v>1620</v>
      </c>
      <c r="I79">
        <v>1</v>
      </c>
      <c r="J79">
        <v>1</v>
      </c>
      <c r="K79">
        <v>1600000000</v>
      </c>
      <c r="L79">
        <v>9</v>
      </c>
      <c r="M79">
        <v>472</v>
      </c>
      <c r="N79">
        <v>191</v>
      </c>
      <c r="P79">
        <v>3</v>
      </c>
      <c r="R79">
        <v>1</v>
      </c>
      <c r="S79">
        <v>1</v>
      </c>
      <c r="U79" t="s">
        <v>233</v>
      </c>
    </row>
    <row r="80" spans="1:21" x14ac:dyDescent="0.3">
      <c r="A80" t="s">
        <v>22</v>
      </c>
      <c r="B80" t="s">
        <v>23</v>
      </c>
      <c r="C80" t="s">
        <v>24</v>
      </c>
      <c r="D80">
        <v>24</v>
      </c>
      <c r="E80">
        <v>4</v>
      </c>
      <c r="F80" t="s">
        <v>252</v>
      </c>
      <c r="G80" t="s">
        <v>253</v>
      </c>
      <c r="H80">
        <v>7594</v>
      </c>
      <c r="I80">
        <v>1</v>
      </c>
      <c r="J80">
        <v>1</v>
      </c>
      <c r="K80">
        <v>1500000000</v>
      </c>
      <c r="L80">
        <v>2</v>
      </c>
      <c r="M80">
        <v>180</v>
      </c>
      <c r="N80">
        <v>128</v>
      </c>
      <c r="P80">
        <v>2</v>
      </c>
      <c r="R80">
        <v>1</v>
      </c>
      <c r="S80">
        <v>1</v>
      </c>
      <c r="T80" t="s">
        <v>112</v>
      </c>
      <c r="U80" t="s">
        <v>233</v>
      </c>
    </row>
    <row r="81" spans="1:21" x14ac:dyDescent="0.3">
      <c r="A81" t="s">
        <v>22</v>
      </c>
      <c r="B81" t="s">
        <v>23</v>
      </c>
      <c r="C81" t="s">
        <v>24</v>
      </c>
      <c r="D81">
        <v>24</v>
      </c>
      <c r="E81">
        <v>5</v>
      </c>
      <c r="F81" t="s">
        <v>254</v>
      </c>
      <c r="G81" t="s">
        <v>255</v>
      </c>
      <c r="H81">
        <v>1742</v>
      </c>
      <c r="I81">
        <v>1</v>
      </c>
      <c r="J81">
        <v>1</v>
      </c>
      <c r="K81">
        <v>1250000000</v>
      </c>
      <c r="M81">
        <v>240</v>
      </c>
      <c r="N81">
        <v>80</v>
      </c>
      <c r="P81">
        <v>3</v>
      </c>
      <c r="R81">
        <v>2</v>
      </c>
      <c r="S81">
        <v>1</v>
      </c>
      <c r="U81" t="s">
        <v>230</v>
      </c>
    </row>
    <row r="82" spans="1:21" x14ac:dyDescent="0.3">
      <c r="A82" t="s">
        <v>22</v>
      </c>
      <c r="B82" t="s">
        <v>23</v>
      </c>
      <c r="C82" t="s">
        <v>24</v>
      </c>
      <c r="D82">
        <v>25</v>
      </c>
      <c r="E82">
        <v>1</v>
      </c>
      <c r="F82" t="s">
        <v>256</v>
      </c>
      <c r="G82" t="s">
        <v>257</v>
      </c>
      <c r="H82">
        <v>7268</v>
      </c>
      <c r="I82">
        <v>1</v>
      </c>
      <c r="J82">
        <v>1</v>
      </c>
      <c r="K82">
        <v>300000000</v>
      </c>
      <c r="L82">
        <v>3</v>
      </c>
      <c r="M82">
        <v>129</v>
      </c>
      <c r="N82">
        <v>129</v>
      </c>
      <c r="P82">
        <v>1</v>
      </c>
      <c r="R82">
        <v>1</v>
      </c>
      <c r="S82">
        <v>1</v>
      </c>
      <c r="T82" t="s">
        <v>119</v>
      </c>
      <c r="U82" t="s">
        <v>230</v>
      </c>
    </row>
    <row r="83" spans="1:21" x14ac:dyDescent="0.3">
      <c r="A83" t="s">
        <v>22</v>
      </c>
      <c r="B83" t="s">
        <v>23</v>
      </c>
      <c r="C83" t="s">
        <v>24</v>
      </c>
      <c r="D83">
        <v>25</v>
      </c>
      <c r="E83">
        <v>2</v>
      </c>
      <c r="F83" t="s">
        <v>258</v>
      </c>
      <c r="G83" t="s">
        <v>259</v>
      </c>
      <c r="H83">
        <v>6986</v>
      </c>
      <c r="I83">
        <v>1</v>
      </c>
      <c r="J83">
        <v>1</v>
      </c>
      <c r="K83">
        <v>750000000</v>
      </c>
      <c r="L83">
        <v>2</v>
      </c>
      <c r="M83">
        <v>96</v>
      </c>
      <c r="N83">
        <v>200</v>
      </c>
      <c r="P83">
        <v>1</v>
      </c>
      <c r="R83">
        <v>1</v>
      </c>
      <c r="S83">
        <v>1</v>
      </c>
      <c r="U83" t="s">
        <v>230</v>
      </c>
    </row>
    <row r="84" spans="1:21" x14ac:dyDescent="0.3">
      <c r="A84" t="s">
        <v>22</v>
      </c>
      <c r="B84" t="s">
        <v>23</v>
      </c>
      <c r="C84" t="s">
        <v>24</v>
      </c>
      <c r="D84">
        <v>25</v>
      </c>
      <c r="E84">
        <v>3</v>
      </c>
      <c r="F84" t="s">
        <v>260</v>
      </c>
      <c r="G84" t="s">
        <v>261</v>
      </c>
      <c r="H84">
        <v>7705</v>
      </c>
      <c r="I84">
        <v>1</v>
      </c>
      <c r="J84">
        <v>1</v>
      </c>
      <c r="K84">
        <v>360000000</v>
      </c>
      <c r="L84">
        <v>2</v>
      </c>
      <c r="M84">
        <v>84</v>
      </c>
      <c r="N84">
        <v>135</v>
      </c>
      <c r="P84">
        <v>1</v>
      </c>
      <c r="R84">
        <v>1</v>
      </c>
      <c r="S84">
        <v>1</v>
      </c>
      <c r="T84" t="s">
        <v>112</v>
      </c>
      <c r="U84" t="s">
        <v>230</v>
      </c>
    </row>
    <row r="85" spans="1:21" x14ac:dyDescent="0.3">
      <c r="A85" t="s">
        <v>22</v>
      </c>
      <c r="B85" t="s">
        <v>23</v>
      </c>
      <c r="C85" t="s">
        <v>24</v>
      </c>
      <c r="D85">
        <v>25</v>
      </c>
      <c r="E85">
        <v>4</v>
      </c>
      <c r="F85" t="s">
        <v>262</v>
      </c>
      <c r="G85" t="s">
        <v>263</v>
      </c>
      <c r="H85">
        <v>7423</v>
      </c>
      <c r="I85">
        <v>1</v>
      </c>
      <c r="J85">
        <v>1</v>
      </c>
      <c r="K85">
        <v>550000000</v>
      </c>
      <c r="L85">
        <v>2</v>
      </c>
      <c r="M85">
        <v>65</v>
      </c>
      <c r="N85">
        <v>84</v>
      </c>
      <c r="P85">
        <v>1</v>
      </c>
      <c r="R85">
        <v>1</v>
      </c>
      <c r="S85">
        <v>1</v>
      </c>
      <c r="T85" t="s">
        <v>119</v>
      </c>
      <c r="U85" t="s">
        <v>230</v>
      </c>
    </row>
    <row r="86" spans="1:21" x14ac:dyDescent="0.3">
      <c r="A86" t="s">
        <v>22</v>
      </c>
      <c r="B86" t="s">
        <v>23</v>
      </c>
      <c r="C86" t="s">
        <v>24</v>
      </c>
      <c r="D86">
        <v>25</v>
      </c>
      <c r="E86">
        <v>5</v>
      </c>
      <c r="F86" t="s">
        <v>264</v>
      </c>
      <c r="G86" t="s">
        <v>153</v>
      </c>
      <c r="H86">
        <v>6938</v>
      </c>
      <c r="I86">
        <v>0</v>
      </c>
      <c r="J86">
        <v>0</v>
      </c>
      <c r="K86">
        <v>465000000</v>
      </c>
      <c r="L86">
        <v>2</v>
      </c>
      <c r="M86">
        <v>44</v>
      </c>
      <c r="N86">
        <v>186</v>
      </c>
      <c r="P86">
        <v>1</v>
      </c>
      <c r="R86">
        <v>1</v>
      </c>
      <c r="S86">
        <v>1</v>
      </c>
      <c r="T86" t="s">
        <v>112</v>
      </c>
      <c r="U86" t="s">
        <v>233</v>
      </c>
    </row>
    <row r="87" spans="1:21" x14ac:dyDescent="0.3">
      <c r="A87" t="s">
        <v>22</v>
      </c>
      <c r="B87" t="s">
        <v>23</v>
      </c>
      <c r="C87" t="s">
        <v>24</v>
      </c>
      <c r="D87">
        <v>26</v>
      </c>
      <c r="E87">
        <v>1</v>
      </c>
      <c r="F87" t="s">
        <v>265</v>
      </c>
      <c r="G87" t="s">
        <v>266</v>
      </c>
      <c r="H87">
        <v>7320</v>
      </c>
      <c r="I87">
        <v>1</v>
      </c>
      <c r="J87">
        <v>1</v>
      </c>
      <c r="K87">
        <v>700000000</v>
      </c>
      <c r="L87">
        <v>4</v>
      </c>
      <c r="M87">
        <v>120</v>
      </c>
      <c r="N87">
        <v>80</v>
      </c>
      <c r="P87">
        <v>3</v>
      </c>
      <c r="R87">
        <v>1</v>
      </c>
      <c r="S87">
        <v>1</v>
      </c>
      <c r="T87" t="s">
        <v>116</v>
      </c>
      <c r="U87" t="s">
        <v>267</v>
      </c>
    </row>
    <row r="88" spans="1:21" x14ac:dyDescent="0.3">
      <c r="A88" t="s">
        <v>22</v>
      </c>
      <c r="B88" t="s">
        <v>23</v>
      </c>
      <c r="C88" t="s">
        <v>24</v>
      </c>
      <c r="D88">
        <v>26</v>
      </c>
      <c r="E88">
        <v>2</v>
      </c>
      <c r="F88" t="s">
        <v>268</v>
      </c>
      <c r="G88" t="s">
        <v>269</v>
      </c>
      <c r="H88">
        <v>567</v>
      </c>
      <c r="I88">
        <v>1</v>
      </c>
      <c r="J88">
        <v>1</v>
      </c>
      <c r="K88">
        <v>675000000</v>
      </c>
      <c r="L88">
        <v>3</v>
      </c>
      <c r="M88">
        <v>72</v>
      </c>
      <c r="N88">
        <v>108</v>
      </c>
      <c r="P88">
        <v>1</v>
      </c>
      <c r="R88">
        <v>1</v>
      </c>
      <c r="S88">
        <v>1</v>
      </c>
      <c r="U88" t="s">
        <v>267</v>
      </c>
    </row>
    <row r="89" spans="1:21" x14ac:dyDescent="0.3">
      <c r="A89" t="s">
        <v>22</v>
      </c>
      <c r="B89" t="s">
        <v>23</v>
      </c>
      <c r="C89" t="s">
        <v>24</v>
      </c>
      <c r="D89">
        <v>26</v>
      </c>
      <c r="E89">
        <v>3</v>
      </c>
      <c r="F89" t="s">
        <v>270</v>
      </c>
      <c r="G89" t="s">
        <v>271</v>
      </c>
      <c r="H89">
        <v>7449</v>
      </c>
      <c r="I89">
        <v>0.5</v>
      </c>
      <c r="J89">
        <v>0</v>
      </c>
      <c r="K89">
        <v>780000000</v>
      </c>
      <c r="L89">
        <v>4</v>
      </c>
      <c r="M89">
        <v>195</v>
      </c>
      <c r="N89">
        <v>78</v>
      </c>
      <c r="P89">
        <v>3</v>
      </c>
      <c r="R89">
        <v>1</v>
      </c>
      <c r="S89">
        <v>1</v>
      </c>
      <c r="T89" t="s">
        <v>119</v>
      </c>
      <c r="U89" t="s">
        <v>267</v>
      </c>
    </row>
    <row r="90" spans="1:21" x14ac:dyDescent="0.3">
      <c r="A90" t="s">
        <v>22</v>
      </c>
      <c r="B90" t="s">
        <v>23</v>
      </c>
      <c r="C90" t="s">
        <v>24</v>
      </c>
      <c r="D90">
        <v>26</v>
      </c>
      <c r="E90">
        <v>4</v>
      </c>
      <c r="F90" t="s">
        <v>246</v>
      </c>
      <c r="G90" t="s">
        <v>247</v>
      </c>
      <c r="H90">
        <v>9869</v>
      </c>
      <c r="I90">
        <v>1</v>
      </c>
      <c r="J90">
        <v>1</v>
      </c>
      <c r="K90">
        <v>750000000</v>
      </c>
      <c r="L90">
        <v>2</v>
      </c>
      <c r="M90">
        <v>80</v>
      </c>
      <c r="N90">
        <v>60</v>
      </c>
      <c r="P90">
        <v>2</v>
      </c>
      <c r="R90">
        <v>1</v>
      </c>
      <c r="S90">
        <v>1</v>
      </c>
      <c r="T90" t="s">
        <v>112</v>
      </c>
      <c r="U90" t="s">
        <v>272</v>
      </c>
    </row>
    <row r="91" spans="1:21" x14ac:dyDescent="0.3">
      <c r="A91" t="s">
        <v>22</v>
      </c>
      <c r="B91" t="s">
        <v>23</v>
      </c>
      <c r="C91" t="s">
        <v>24</v>
      </c>
      <c r="D91">
        <v>26</v>
      </c>
      <c r="E91">
        <v>5</v>
      </c>
      <c r="F91" t="s">
        <v>273</v>
      </c>
      <c r="G91" t="s">
        <v>274</v>
      </c>
      <c r="H91">
        <v>1510</v>
      </c>
      <c r="I91">
        <v>0.5</v>
      </c>
      <c r="J91">
        <v>0</v>
      </c>
      <c r="K91">
        <v>220000000</v>
      </c>
      <c r="L91">
        <v>2</v>
      </c>
      <c r="M91">
        <v>117</v>
      </c>
      <c r="N91">
        <v>117</v>
      </c>
      <c r="P91">
        <v>1</v>
      </c>
      <c r="R91">
        <v>1</v>
      </c>
      <c r="S91">
        <v>1</v>
      </c>
      <c r="T91" t="s">
        <v>119</v>
      </c>
      <c r="U91" t="s">
        <v>267</v>
      </c>
    </row>
    <row r="92" spans="1:21" x14ac:dyDescent="0.3">
      <c r="A92" t="s">
        <v>22</v>
      </c>
      <c r="B92" t="s">
        <v>23</v>
      </c>
      <c r="C92" t="s">
        <v>24</v>
      </c>
      <c r="D92">
        <v>27</v>
      </c>
      <c r="E92">
        <v>1</v>
      </c>
      <c r="F92" t="s">
        <v>275</v>
      </c>
      <c r="G92" t="s">
        <v>229</v>
      </c>
      <c r="H92">
        <v>9994</v>
      </c>
      <c r="I92">
        <v>1</v>
      </c>
      <c r="J92">
        <v>1</v>
      </c>
      <c r="K92">
        <v>650000000</v>
      </c>
      <c r="L92">
        <v>2</v>
      </c>
      <c r="M92">
        <v>60</v>
      </c>
      <c r="N92">
        <v>90</v>
      </c>
      <c r="P92">
        <v>1</v>
      </c>
      <c r="Q92" t="s">
        <v>140</v>
      </c>
      <c r="R92">
        <v>1</v>
      </c>
      <c r="S92">
        <v>1</v>
      </c>
      <c r="U92" t="s">
        <v>272</v>
      </c>
    </row>
    <row r="93" spans="1:21" x14ac:dyDescent="0.3">
      <c r="A93" t="s">
        <v>22</v>
      </c>
      <c r="B93" t="s">
        <v>23</v>
      </c>
      <c r="C93" t="s">
        <v>24</v>
      </c>
      <c r="D93">
        <v>27</v>
      </c>
      <c r="E93">
        <v>2</v>
      </c>
      <c r="F93" t="s">
        <v>276</v>
      </c>
      <c r="G93" t="s">
        <v>277</v>
      </c>
      <c r="H93">
        <v>8992</v>
      </c>
      <c r="I93">
        <v>0.5</v>
      </c>
      <c r="J93">
        <v>0</v>
      </c>
      <c r="K93">
        <v>850000000</v>
      </c>
      <c r="L93">
        <v>2</v>
      </c>
      <c r="M93">
        <v>180</v>
      </c>
      <c r="N93">
        <v>64</v>
      </c>
      <c r="P93">
        <v>3</v>
      </c>
      <c r="R93">
        <v>1</v>
      </c>
      <c r="S93">
        <v>1</v>
      </c>
      <c r="T93" t="s">
        <v>119</v>
      </c>
      <c r="U93" t="s">
        <v>267</v>
      </c>
    </row>
    <row r="94" spans="1:21" x14ac:dyDescent="0.3">
      <c r="A94" t="s">
        <v>22</v>
      </c>
      <c r="B94" t="s">
        <v>23</v>
      </c>
      <c r="C94" t="s">
        <v>24</v>
      </c>
      <c r="D94">
        <v>28</v>
      </c>
      <c r="E94">
        <v>1</v>
      </c>
      <c r="F94" t="s">
        <v>278</v>
      </c>
      <c r="G94" t="s">
        <v>279</v>
      </c>
      <c r="H94">
        <v>7302</v>
      </c>
      <c r="I94">
        <v>1</v>
      </c>
      <c r="J94">
        <v>1</v>
      </c>
      <c r="K94">
        <v>1350000000</v>
      </c>
      <c r="L94">
        <v>1</v>
      </c>
      <c r="M94">
        <v>0</v>
      </c>
      <c r="N94">
        <v>41</v>
      </c>
      <c r="P94">
        <v>1</v>
      </c>
      <c r="R94">
        <v>4</v>
      </c>
      <c r="S94">
        <v>1</v>
      </c>
      <c r="T94" t="s">
        <v>116</v>
      </c>
      <c r="U94" t="s">
        <v>280</v>
      </c>
    </row>
    <row r="95" spans="1:21" x14ac:dyDescent="0.3">
      <c r="A95" t="s">
        <v>22</v>
      </c>
      <c r="B95" t="s">
        <v>23</v>
      </c>
      <c r="C95" t="s">
        <v>24</v>
      </c>
      <c r="D95">
        <v>28</v>
      </c>
      <c r="E95">
        <v>2</v>
      </c>
      <c r="F95" t="s">
        <v>281</v>
      </c>
      <c r="G95" t="s">
        <v>282</v>
      </c>
      <c r="H95">
        <v>8417</v>
      </c>
      <c r="I95">
        <v>1</v>
      </c>
      <c r="J95">
        <v>1</v>
      </c>
      <c r="K95">
        <v>1250000000</v>
      </c>
      <c r="L95">
        <v>1</v>
      </c>
      <c r="M95">
        <v>0</v>
      </c>
      <c r="R95">
        <v>4</v>
      </c>
      <c r="S95">
        <v>1</v>
      </c>
      <c r="U95" t="s">
        <v>280</v>
      </c>
    </row>
    <row r="96" spans="1:21" x14ac:dyDescent="0.3">
      <c r="A96" t="s">
        <v>22</v>
      </c>
      <c r="B96" t="s">
        <v>23</v>
      </c>
      <c r="C96" t="s">
        <v>24</v>
      </c>
      <c r="D96">
        <v>28</v>
      </c>
      <c r="E96">
        <v>3</v>
      </c>
      <c r="F96" t="s">
        <v>283</v>
      </c>
      <c r="G96" t="s">
        <v>284</v>
      </c>
      <c r="H96">
        <v>7942</v>
      </c>
      <c r="I96">
        <v>1</v>
      </c>
      <c r="J96">
        <v>1</v>
      </c>
      <c r="K96">
        <v>1250000000</v>
      </c>
      <c r="L96">
        <v>2</v>
      </c>
      <c r="M96">
        <v>63</v>
      </c>
      <c r="R96">
        <v>4</v>
      </c>
      <c r="S96">
        <v>1</v>
      </c>
      <c r="U96" t="s">
        <v>280</v>
      </c>
    </row>
    <row r="97" spans="1:21" x14ac:dyDescent="0.3">
      <c r="A97" t="s">
        <v>22</v>
      </c>
      <c r="B97" t="s">
        <v>23</v>
      </c>
      <c r="C97" t="s">
        <v>24</v>
      </c>
      <c r="D97">
        <v>28</v>
      </c>
      <c r="E97">
        <v>4</v>
      </c>
      <c r="F97" t="s">
        <v>285</v>
      </c>
      <c r="G97" t="s">
        <v>286</v>
      </c>
      <c r="H97">
        <v>7208</v>
      </c>
      <c r="I97">
        <v>1</v>
      </c>
      <c r="J97">
        <v>1</v>
      </c>
      <c r="K97">
        <v>1300000000</v>
      </c>
      <c r="L97">
        <v>2</v>
      </c>
      <c r="M97">
        <v>56</v>
      </c>
      <c r="N97">
        <v>56</v>
      </c>
      <c r="P97">
        <v>1</v>
      </c>
      <c r="R97">
        <v>4</v>
      </c>
      <c r="S97">
        <v>1</v>
      </c>
      <c r="U97" t="s">
        <v>280</v>
      </c>
    </row>
    <row r="98" spans="1:21" x14ac:dyDescent="0.3">
      <c r="A98" t="s">
        <v>22</v>
      </c>
      <c r="B98" t="s">
        <v>23</v>
      </c>
      <c r="C98" t="s">
        <v>24</v>
      </c>
      <c r="D98">
        <v>28</v>
      </c>
      <c r="E98">
        <v>5</v>
      </c>
      <c r="F98" t="s">
        <v>287</v>
      </c>
      <c r="G98" t="s">
        <v>288</v>
      </c>
      <c r="H98">
        <v>6886</v>
      </c>
      <c r="I98">
        <v>1</v>
      </c>
      <c r="J98">
        <v>1</v>
      </c>
      <c r="K98">
        <v>1250000000</v>
      </c>
      <c r="L98">
        <v>1</v>
      </c>
      <c r="M98">
        <v>0</v>
      </c>
      <c r="N98">
        <v>41</v>
      </c>
      <c r="R98">
        <v>4</v>
      </c>
      <c r="S98">
        <v>1</v>
      </c>
      <c r="U98" t="s">
        <v>280</v>
      </c>
    </row>
    <row r="99" spans="1:21" x14ac:dyDescent="0.3">
      <c r="A99" t="s">
        <v>22</v>
      </c>
      <c r="B99" t="s">
        <v>23</v>
      </c>
      <c r="C99" t="s">
        <v>24</v>
      </c>
      <c r="D99">
        <v>29</v>
      </c>
      <c r="E99">
        <v>1</v>
      </c>
      <c r="F99" t="s">
        <v>289</v>
      </c>
      <c r="G99" t="s">
        <v>290</v>
      </c>
      <c r="H99">
        <v>9004</v>
      </c>
      <c r="I99">
        <v>1</v>
      </c>
      <c r="J99">
        <v>1</v>
      </c>
      <c r="K99">
        <v>4600000000</v>
      </c>
      <c r="L99">
        <v>3</v>
      </c>
      <c r="M99">
        <v>160</v>
      </c>
      <c r="N99">
        <v>144</v>
      </c>
      <c r="P99">
        <v>2</v>
      </c>
      <c r="Q99" t="s">
        <v>144</v>
      </c>
      <c r="R99">
        <v>1</v>
      </c>
      <c r="S99">
        <v>1</v>
      </c>
      <c r="T99" t="s">
        <v>133</v>
      </c>
      <c r="U99" t="s">
        <v>291</v>
      </c>
    </row>
    <row r="100" spans="1:21" x14ac:dyDescent="0.3">
      <c r="A100" t="s">
        <v>22</v>
      </c>
      <c r="B100" t="s">
        <v>23</v>
      </c>
      <c r="C100" t="s">
        <v>24</v>
      </c>
      <c r="D100">
        <v>29</v>
      </c>
      <c r="E100">
        <v>2</v>
      </c>
      <c r="F100" t="s">
        <v>292</v>
      </c>
      <c r="G100" t="s">
        <v>293</v>
      </c>
      <c r="H100">
        <v>7743</v>
      </c>
      <c r="I100">
        <v>1</v>
      </c>
      <c r="J100">
        <v>1</v>
      </c>
      <c r="K100">
        <v>3500000000</v>
      </c>
      <c r="L100">
        <v>3</v>
      </c>
      <c r="M100">
        <v>130</v>
      </c>
      <c r="N100">
        <v>144</v>
      </c>
      <c r="P100">
        <v>2</v>
      </c>
      <c r="R100">
        <v>1</v>
      </c>
      <c r="S100">
        <v>1</v>
      </c>
      <c r="T100" t="s">
        <v>116</v>
      </c>
      <c r="U100" t="s">
        <v>291</v>
      </c>
    </row>
    <row r="101" spans="1:21" x14ac:dyDescent="0.3">
      <c r="A101" t="s">
        <v>22</v>
      </c>
      <c r="B101" t="s">
        <v>23</v>
      </c>
      <c r="C101" t="s">
        <v>24</v>
      </c>
      <c r="D101">
        <v>29</v>
      </c>
      <c r="E101">
        <v>3</v>
      </c>
      <c r="F101" t="s">
        <v>294</v>
      </c>
      <c r="G101" t="s">
        <v>295</v>
      </c>
      <c r="H101">
        <v>9739</v>
      </c>
      <c r="I101">
        <v>1</v>
      </c>
      <c r="J101">
        <v>1</v>
      </c>
      <c r="K101">
        <v>900000000</v>
      </c>
      <c r="L101">
        <v>5</v>
      </c>
      <c r="M101">
        <v>192</v>
      </c>
      <c r="N101">
        <v>144</v>
      </c>
      <c r="P101">
        <v>2</v>
      </c>
      <c r="R101">
        <v>1</v>
      </c>
      <c r="S101">
        <v>1</v>
      </c>
      <c r="T101" t="s">
        <v>116</v>
      </c>
      <c r="U101" t="s">
        <v>291</v>
      </c>
    </row>
    <row r="102" spans="1:21" x14ac:dyDescent="0.3">
      <c r="A102" t="s">
        <v>22</v>
      </c>
      <c r="B102" t="s">
        <v>23</v>
      </c>
      <c r="C102" t="s">
        <v>24</v>
      </c>
      <c r="D102">
        <v>29</v>
      </c>
      <c r="E102">
        <v>4</v>
      </c>
      <c r="F102" t="s">
        <v>296</v>
      </c>
      <c r="G102" t="s">
        <v>297</v>
      </c>
      <c r="H102">
        <v>8375</v>
      </c>
      <c r="I102">
        <v>1</v>
      </c>
      <c r="J102">
        <v>1</v>
      </c>
      <c r="K102">
        <v>450000000</v>
      </c>
      <c r="L102">
        <v>2</v>
      </c>
      <c r="M102">
        <v>57</v>
      </c>
      <c r="N102">
        <v>60</v>
      </c>
      <c r="P102">
        <v>1</v>
      </c>
      <c r="R102">
        <v>1</v>
      </c>
      <c r="S102">
        <v>1</v>
      </c>
      <c r="T102" t="s">
        <v>119</v>
      </c>
      <c r="U102" t="s">
        <v>291</v>
      </c>
    </row>
    <row r="103" spans="1:21" x14ac:dyDescent="0.3">
      <c r="A103" t="s">
        <v>22</v>
      </c>
      <c r="B103" t="s">
        <v>23</v>
      </c>
      <c r="C103" t="s">
        <v>24</v>
      </c>
      <c r="D103">
        <v>29</v>
      </c>
      <c r="E103">
        <v>5</v>
      </c>
      <c r="F103" t="s">
        <v>298</v>
      </c>
      <c r="G103" t="s">
        <v>299</v>
      </c>
      <c r="H103">
        <v>8016</v>
      </c>
      <c r="I103">
        <v>1</v>
      </c>
      <c r="J103">
        <v>1</v>
      </c>
      <c r="K103">
        <v>5700000000</v>
      </c>
      <c r="L103">
        <v>4</v>
      </c>
      <c r="M103">
        <v>400</v>
      </c>
      <c r="N103">
        <v>200</v>
      </c>
      <c r="P103">
        <v>2</v>
      </c>
      <c r="R103">
        <v>1</v>
      </c>
      <c r="S103">
        <v>1</v>
      </c>
      <c r="T103" t="s">
        <v>112</v>
      </c>
      <c r="U103" t="s">
        <v>291</v>
      </c>
    </row>
    <row r="104" spans="1:21" x14ac:dyDescent="0.3">
      <c r="A104" t="s">
        <v>22</v>
      </c>
      <c r="B104" t="s">
        <v>23</v>
      </c>
      <c r="C104" t="s">
        <v>24</v>
      </c>
      <c r="D104">
        <v>30</v>
      </c>
      <c r="E104">
        <v>1</v>
      </c>
      <c r="F104" t="s">
        <v>300</v>
      </c>
      <c r="G104" t="s">
        <v>301</v>
      </c>
      <c r="H104">
        <v>7084</v>
      </c>
      <c r="I104">
        <v>1</v>
      </c>
      <c r="J104">
        <v>1</v>
      </c>
      <c r="K104">
        <v>3000000000</v>
      </c>
      <c r="L104">
        <v>3</v>
      </c>
      <c r="M104">
        <v>220</v>
      </c>
      <c r="N104">
        <v>128</v>
      </c>
      <c r="P104">
        <v>3</v>
      </c>
      <c r="R104">
        <v>1</v>
      </c>
      <c r="S104">
        <v>1</v>
      </c>
      <c r="T104" t="s">
        <v>116</v>
      </c>
      <c r="U104" t="s">
        <v>113</v>
      </c>
    </row>
    <row r="105" spans="1:21" x14ac:dyDescent="0.3">
      <c r="A105" t="s">
        <v>22</v>
      </c>
      <c r="B105" t="s">
        <v>23</v>
      </c>
      <c r="C105" t="s">
        <v>24</v>
      </c>
      <c r="D105">
        <v>30</v>
      </c>
      <c r="E105">
        <v>2</v>
      </c>
      <c r="F105" t="s">
        <v>302</v>
      </c>
      <c r="G105" t="s">
        <v>303</v>
      </c>
      <c r="H105">
        <v>8829</v>
      </c>
      <c r="I105">
        <v>1</v>
      </c>
      <c r="J105">
        <v>1</v>
      </c>
      <c r="K105">
        <v>1600000000</v>
      </c>
      <c r="L105">
        <v>2</v>
      </c>
      <c r="M105">
        <v>132</v>
      </c>
      <c r="N105">
        <v>96</v>
      </c>
      <c r="P105">
        <v>2</v>
      </c>
      <c r="Q105" t="s">
        <v>122</v>
      </c>
      <c r="R105">
        <v>1</v>
      </c>
      <c r="S105">
        <v>1</v>
      </c>
      <c r="T105" t="s">
        <v>116</v>
      </c>
      <c r="U105" t="s">
        <v>113</v>
      </c>
    </row>
    <row r="106" spans="1:21" x14ac:dyDescent="0.3">
      <c r="A106" t="s">
        <v>22</v>
      </c>
      <c r="B106" t="s">
        <v>23</v>
      </c>
      <c r="C106" t="s">
        <v>24</v>
      </c>
      <c r="D106">
        <v>30</v>
      </c>
      <c r="E106">
        <v>3</v>
      </c>
      <c r="F106" t="s">
        <v>304</v>
      </c>
      <c r="G106" t="s">
        <v>305</v>
      </c>
      <c r="H106">
        <v>9099</v>
      </c>
      <c r="I106">
        <v>1</v>
      </c>
      <c r="J106">
        <v>1</v>
      </c>
      <c r="K106">
        <v>1400000000</v>
      </c>
      <c r="L106">
        <v>5</v>
      </c>
      <c r="M106">
        <v>164</v>
      </c>
      <c r="N106">
        <v>89</v>
      </c>
      <c r="P106">
        <v>3</v>
      </c>
      <c r="R106">
        <v>1</v>
      </c>
      <c r="S106">
        <v>1</v>
      </c>
      <c r="U106" t="s">
        <v>113</v>
      </c>
    </row>
    <row r="107" spans="1:21" x14ac:dyDescent="0.3">
      <c r="A107" t="s">
        <v>22</v>
      </c>
      <c r="B107" t="s">
        <v>23</v>
      </c>
      <c r="C107" t="s">
        <v>24</v>
      </c>
      <c r="D107">
        <v>30</v>
      </c>
      <c r="E107">
        <v>4</v>
      </c>
      <c r="F107" t="s">
        <v>306</v>
      </c>
      <c r="G107" t="s">
        <v>307</v>
      </c>
      <c r="H107">
        <v>8101</v>
      </c>
      <c r="I107">
        <v>1</v>
      </c>
      <c r="J107">
        <v>1</v>
      </c>
      <c r="K107">
        <v>3100000000</v>
      </c>
      <c r="L107">
        <v>5</v>
      </c>
      <c r="M107">
        <v>409</v>
      </c>
      <c r="N107">
        <v>162</v>
      </c>
      <c r="P107">
        <v>3</v>
      </c>
      <c r="R107">
        <v>1</v>
      </c>
      <c r="S107">
        <v>1</v>
      </c>
      <c r="T107" t="s">
        <v>116</v>
      </c>
      <c r="U107" t="s">
        <v>113</v>
      </c>
    </row>
    <row r="108" spans="1:21" x14ac:dyDescent="0.3">
      <c r="A108" t="s">
        <v>22</v>
      </c>
      <c r="B108" t="s">
        <v>23</v>
      </c>
      <c r="C108" t="s">
        <v>24</v>
      </c>
      <c r="D108">
        <v>30</v>
      </c>
      <c r="E108">
        <v>5</v>
      </c>
      <c r="F108" t="s">
        <v>308</v>
      </c>
      <c r="G108" t="s">
        <v>309</v>
      </c>
      <c r="H108">
        <v>8493</v>
      </c>
      <c r="I108">
        <v>1</v>
      </c>
      <c r="J108">
        <v>1</v>
      </c>
      <c r="K108">
        <v>1500000000</v>
      </c>
      <c r="L108">
        <v>2</v>
      </c>
      <c r="M108">
        <v>112</v>
      </c>
      <c r="N108">
        <v>84</v>
      </c>
      <c r="P108">
        <v>2</v>
      </c>
      <c r="R108">
        <v>1</v>
      </c>
      <c r="S108">
        <v>1</v>
      </c>
      <c r="T108" t="s">
        <v>116</v>
      </c>
      <c r="U108" t="s">
        <v>113</v>
      </c>
    </row>
    <row r="109" spans="1:21" x14ac:dyDescent="0.3">
      <c r="J109">
        <f>AVERAGE(J2:J108)</f>
        <v>0.57009345794392519</v>
      </c>
    </row>
  </sheetData>
  <autoFilter ref="A1:U108"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
  <sheetViews>
    <sheetView topLeftCell="G1" workbookViewId="0">
      <selection activeCell="I23" sqref="I23"/>
    </sheetView>
  </sheetViews>
  <sheetFormatPr defaultRowHeight="14.4" x14ac:dyDescent="0.3"/>
  <cols>
    <col min="1" max="1" width="15.88671875" bestFit="1" customWidth="1"/>
    <col min="2" max="2" width="18.88671875" bestFit="1" customWidth="1"/>
    <col min="3" max="3" width="25" bestFit="1" customWidth="1"/>
    <col min="4" max="4" width="11.5546875" bestFit="1" customWidth="1"/>
    <col min="5" max="5" width="15" bestFit="1" customWidth="1"/>
    <col min="6" max="6" width="16.33203125" bestFit="1" customWidth="1"/>
    <col min="7" max="7" width="25.33203125" bestFit="1" customWidth="1"/>
    <col min="8" max="8" width="14.5546875" bestFit="1" customWidth="1"/>
    <col min="9" max="9" width="19.88671875" bestFit="1" customWidth="1"/>
    <col min="10" max="10" width="16.44140625" bestFit="1" customWidth="1"/>
    <col min="11" max="11" width="13.33203125" bestFit="1" customWidth="1"/>
    <col min="12" max="12" width="14.5546875" bestFit="1" customWidth="1"/>
    <col min="13" max="13" width="19.44140625" bestFit="1" customWidth="1"/>
    <col min="14" max="18" width="9.33203125" customWidth="1"/>
    <col min="19" max="19" width="12.6640625" bestFit="1" customWidth="1"/>
    <col min="20" max="20" width="9.44140625" bestFit="1" customWidth="1"/>
    <col min="21" max="22" width="12" bestFit="1" customWidth="1"/>
  </cols>
  <sheetData>
    <row r="1" spans="1:22" x14ac:dyDescent="0.3">
      <c r="A1" s="1" t="s">
        <v>0</v>
      </c>
      <c r="B1" s="1" t="s">
        <v>1</v>
      </c>
      <c r="C1" s="1" t="s">
        <v>2</v>
      </c>
      <c r="D1" s="1" t="s">
        <v>310</v>
      </c>
      <c r="E1" s="1" t="s">
        <v>311</v>
      </c>
      <c r="F1" s="1" t="s">
        <v>312</v>
      </c>
      <c r="G1" s="1" t="s">
        <v>313</v>
      </c>
      <c r="H1" s="1" t="s">
        <v>314</v>
      </c>
      <c r="I1" s="1" t="s">
        <v>315</v>
      </c>
      <c r="J1" s="1" t="s">
        <v>316</v>
      </c>
      <c r="K1" s="1" t="s">
        <v>317</v>
      </c>
      <c r="L1" s="1" t="s">
        <v>318</v>
      </c>
      <c r="M1" s="1" t="s">
        <v>319</v>
      </c>
      <c r="N1" s="1" t="s">
        <v>25</v>
      </c>
      <c r="O1" s="1" t="s">
        <v>46</v>
      </c>
      <c r="P1" s="1" t="s">
        <v>36</v>
      </c>
      <c r="Q1" s="1" t="s">
        <v>43</v>
      </c>
      <c r="R1" s="1" t="s">
        <v>320</v>
      </c>
      <c r="S1" s="1" t="s">
        <v>321</v>
      </c>
      <c r="T1" s="1" t="s">
        <v>322</v>
      </c>
      <c r="U1" s="1" t="s">
        <v>323</v>
      </c>
      <c r="V1" s="1" t="s">
        <v>324</v>
      </c>
    </row>
    <row r="2" spans="1:22" x14ac:dyDescent="0.3">
      <c r="A2" t="s">
        <v>22</v>
      </c>
      <c r="B2" t="s">
        <v>23</v>
      </c>
      <c r="C2" t="s">
        <v>24</v>
      </c>
      <c r="D2">
        <v>0.6</v>
      </c>
      <c r="E2">
        <v>30</v>
      </c>
      <c r="F2">
        <v>25</v>
      </c>
      <c r="G2">
        <v>5</v>
      </c>
      <c r="H2">
        <v>0.69436507936507941</v>
      </c>
      <c r="I2">
        <v>1</v>
      </c>
      <c r="J2">
        <v>0.75323809523809526</v>
      </c>
      <c r="K2">
        <v>0.83795289249212079</v>
      </c>
      <c r="L2">
        <v>0.79874213836477992</v>
      </c>
      <c r="M2">
        <v>0.4</v>
      </c>
      <c r="N2">
        <v>11</v>
      </c>
      <c r="O2">
        <v>3</v>
      </c>
      <c r="P2">
        <v>14</v>
      </c>
      <c r="Q2">
        <v>2</v>
      </c>
      <c r="R2">
        <v>0</v>
      </c>
      <c r="S2">
        <v>0.7857142857142857</v>
      </c>
      <c r="T2">
        <v>0.44</v>
      </c>
      <c r="U2">
        <v>0.5641025641025641</v>
      </c>
      <c r="V2">
        <v>0.43333333333333329</v>
      </c>
    </row>
    <row r="3" spans="1:22" x14ac:dyDescent="0.3">
      <c r="E3">
        <f>COUNT(per_question!D2:D31)</f>
        <v>30</v>
      </c>
      <c r="F3">
        <f>COUNTIF(per_question!$E$2:$E$31,"TRUE")</f>
        <v>25</v>
      </c>
      <c r="G3">
        <f>COUNTIF(per_question!$E$2:$E$31,"FALSE")</f>
        <v>5</v>
      </c>
      <c r="H3">
        <f>AVERAGE(per_item!I2:I108)</f>
        <v>0.82478860703159784</v>
      </c>
      <c r="N3">
        <f>COUNTIF(per_question!$Q$2:$Q$31,"TP")</f>
        <v>14</v>
      </c>
      <c r="O3">
        <f>COUNTIF(per_question!$Q$2:$Q$31,"FP")</f>
        <v>3</v>
      </c>
      <c r="P3">
        <f>COUNTIF(per_question!$Q$2:$Q$31,"FN")</f>
        <v>11</v>
      </c>
      <c r="Q3">
        <f>COUNTIF(per_question!$Q$2:$Q$31,"TN")</f>
        <v>2</v>
      </c>
      <c r="R3">
        <f>COUNTIF(per_question!$Q$2:$Q$31,"UNK")</f>
        <v>0</v>
      </c>
      <c r="S3">
        <f>N3/(N3+O3)</f>
        <v>0.82352941176470584</v>
      </c>
      <c r="T3">
        <f>N3/(N3+P3)</f>
        <v>0.56000000000000005</v>
      </c>
      <c r="U3">
        <f>2*S3*T3/(S3+T3)</f>
        <v>0.66666666666666663</v>
      </c>
      <c r="V3">
        <f>(N3+Q3)/SUM(N3:Q3)</f>
        <v>0.53333333333333333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2025-11-13T01:38:57Z</dcterms:created>
  <dcterms:modified xsi:type="dcterms:W3CDTF">2025-11-18T13:13:26Z</dcterms:modified>
</cp:coreProperties>
</file>