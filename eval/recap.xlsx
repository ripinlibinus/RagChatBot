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nus S2\tesis\code\rag-bot-r2\eval\"/>
    </mc:Choice>
  </mc:AlternateContent>
  <xr:revisionPtr revIDLastSave="0" documentId="13_ncr:1_{37FFEC10-AEC3-451F-9E70-8B7D292C3DD0}" xr6:coauthVersionLast="47" xr6:coauthVersionMax="47" xr10:uidLastSave="{00000000-0000-0000-0000-000000000000}"/>
  <bookViews>
    <workbookView xWindow="-108" yWindow="12852" windowWidth="23256" windowHeight="12456" xr2:uid="{D7945F51-3004-45F3-BCC3-3017C5B88DB7}"/>
  </bookViews>
  <sheets>
    <sheet name="Sheet1" sheetId="1" r:id="rId1"/>
    <sheet name="Sheet2" sheetId="2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H2" i="1"/>
  <c r="E2" i="1" s="1"/>
  <c r="I2" i="1"/>
  <c r="F2" i="1" s="1"/>
  <c r="J2" i="1"/>
  <c r="G2" i="1" s="1"/>
  <c r="K2" i="1"/>
  <c r="M2" i="1"/>
  <c r="B3" i="1"/>
  <c r="C3" i="1"/>
  <c r="D3" i="1"/>
  <c r="H3" i="1"/>
  <c r="E3" i="1" s="1"/>
  <c r="I3" i="1"/>
  <c r="F3" i="1" s="1"/>
  <c r="J3" i="1"/>
  <c r="G3" i="1" s="1"/>
  <c r="K3" i="1"/>
  <c r="M3" i="1"/>
  <c r="B4" i="1"/>
  <c r="C4" i="1"/>
  <c r="D4" i="1"/>
  <c r="H4" i="1"/>
  <c r="E4" i="1" s="1"/>
  <c r="I4" i="1"/>
  <c r="F4" i="1" s="1"/>
  <c r="J4" i="1"/>
  <c r="G4" i="1" s="1"/>
  <c r="K4" i="1"/>
  <c r="M4" i="1"/>
  <c r="B5" i="1"/>
  <c r="C5" i="1"/>
  <c r="D5" i="1"/>
  <c r="H5" i="1"/>
  <c r="E5" i="1" s="1"/>
  <c r="I5" i="1"/>
  <c r="F5" i="1" s="1"/>
  <c r="J5" i="1"/>
  <c r="G5" i="1" s="1"/>
  <c r="K5" i="1"/>
  <c r="M5" i="1"/>
  <c r="B6" i="1"/>
  <c r="C6" i="1"/>
  <c r="D6" i="1"/>
  <c r="H6" i="1"/>
  <c r="I6" i="1"/>
  <c r="F6" i="1" s="1"/>
  <c r="J6" i="1"/>
  <c r="G6" i="1" s="1"/>
  <c r="K6" i="1"/>
  <c r="M6" i="1"/>
  <c r="B7" i="1"/>
  <c r="C7" i="1"/>
  <c r="D7" i="1"/>
  <c r="H7" i="1"/>
  <c r="I7" i="1"/>
  <c r="F7" i="1" s="1"/>
  <c r="J7" i="1"/>
  <c r="G7" i="1" s="1"/>
  <c r="K7" i="1"/>
  <c r="M7" i="1"/>
  <c r="B8" i="1"/>
  <c r="D8" i="1"/>
  <c r="H8" i="1"/>
  <c r="J8" i="1"/>
  <c r="K8" i="1"/>
  <c r="L8" i="1"/>
  <c r="M8" i="1"/>
  <c r="B9" i="1"/>
  <c r="D9" i="1"/>
  <c r="E9" i="1"/>
  <c r="H9" i="1"/>
  <c r="J9" i="1"/>
  <c r="K9" i="1"/>
  <c r="L9" i="1"/>
  <c r="M9" i="1"/>
  <c r="B10" i="1"/>
  <c r="C10" i="1"/>
  <c r="D10" i="1"/>
  <c r="H10" i="1"/>
  <c r="I10" i="1"/>
  <c r="F10" i="1" s="1"/>
  <c r="J10" i="1"/>
  <c r="G10" i="1" s="1"/>
  <c r="K10" i="1"/>
  <c r="M10" i="1"/>
  <c r="B11" i="1"/>
  <c r="C11" i="1"/>
  <c r="D11" i="1"/>
  <c r="H11" i="1"/>
  <c r="E11" i="1" s="1"/>
  <c r="I11" i="1"/>
  <c r="F11" i="1" s="1"/>
  <c r="J11" i="1"/>
  <c r="G11" i="1" s="1"/>
  <c r="K11" i="1"/>
  <c r="M11" i="1"/>
  <c r="B12" i="1"/>
  <c r="C12" i="1"/>
  <c r="D12" i="1"/>
  <c r="H12" i="1"/>
  <c r="E12" i="1" s="1"/>
  <c r="I12" i="1"/>
  <c r="F12" i="1" s="1"/>
  <c r="J12" i="1"/>
  <c r="G12" i="1" s="1"/>
  <c r="K12" i="1"/>
  <c r="M12" i="1"/>
  <c r="B13" i="1"/>
  <c r="D13" i="1"/>
  <c r="E13" i="1"/>
  <c r="H13" i="1"/>
  <c r="J13" i="1"/>
  <c r="K13" i="1"/>
  <c r="L13" i="1"/>
  <c r="M13" i="1"/>
  <c r="B14" i="1"/>
  <c r="C14" i="1"/>
  <c r="D14" i="1"/>
  <c r="H14" i="1"/>
  <c r="E14" i="1" s="1"/>
  <c r="I14" i="1"/>
  <c r="F14" i="1" s="1"/>
  <c r="J14" i="1"/>
  <c r="G14" i="1" s="1"/>
  <c r="K14" i="1"/>
  <c r="M14" i="1"/>
  <c r="B15" i="1"/>
  <c r="C15" i="1"/>
  <c r="D15" i="1"/>
  <c r="H15" i="1"/>
  <c r="E15" i="1" s="1"/>
  <c r="I15" i="1"/>
  <c r="F15" i="1" s="1"/>
  <c r="J15" i="1"/>
  <c r="G15" i="1" s="1"/>
  <c r="K15" i="1"/>
  <c r="M15" i="1"/>
  <c r="B16" i="1"/>
  <c r="C16" i="1"/>
  <c r="D16" i="1"/>
  <c r="H16" i="1"/>
  <c r="E16" i="1" s="1"/>
  <c r="I16" i="1"/>
  <c r="F16" i="1" s="1"/>
  <c r="J16" i="1"/>
  <c r="G16" i="1" s="1"/>
  <c r="K16" i="1"/>
  <c r="M16" i="1"/>
  <c r="B17" i="1"/>
  <c r="C17" i="1"/>
  <c r="D17" i="1"/>
  <c r="H17" i="1"/>
  <c r="E17" i="1" s="1"/>
  <c r="I17" i="1"/>
  <c r="F17" i="1" s="1"/>
  <c r="J17" i="1"/>
  <c r="G17" i="1" s="1"/>
  <c r="K17" i="1"/>
  <c r="M17" i="1"/>
  <c r="B18" i="1"/>
  <c r="D18" i="1"/>
  <c r="H18" i="1"/>
  <c r="E18" i="1" s="1"/>
  <c r="J18" i="1"/>
  <c r="G18" i="1" s="1"/>
  <c r="K18" i="1"/>
  <c r="L18" i="1"/>
  <c r="M18" i="1"/>
  <c r="B19" i="1"/>
  <c r="C19" i="1"/>
  <c r="D19" i="1"/>
  <c r="G19" i="1"/>
  <c r="H19" i="1"/>
  <c r="I19" i="1"/>
  <c r="F19" i="1" s="1"/>
  <c r="J19" i="1"/>
  <c r="K19" i="1"/>
  <c r="M19" i="1"/>
  <c r="B20" i="1"/>
  <c r="D20" i="1"/>
  <c r="E20" i="1"/>
  <c r="G20" i="1"/>
  <c r="H20" i="1"/>
  <c r="J20" i="1"/>
  <c r="K20" i="1"/>
  <c r="L20" i="1"/>
  <c r="M20" i="1"/>
  <c r="B21" i="1"/>
  <c r="D21" i="1"/>
  <c r="E21" i="1"/>
  <c r="H21" i="1"/>
  <c r="J21" i="1"/>
  <c r="G21" i="1" s="1"/>
  <c r="K21" i="1"/>
  <c r="L21" i="1"/>
  <c r="M21" i="1"/>
  <c r="B22" i="1"/>
  <c r="C22" i="1"/>
  <c r="D22" i="1"/>
  <c r="H22" i="1"/>
  <c r="E22" i="1" s="1"/>
  <c r="I22" i="1"/>
  <c r="F22" i="1" s="1"/>
  <c r="J22" i="1"/>
  <c r="G22" i="1" s="1"/>
  <c r="K22" i="1"/>
  <c r="M22" i="1"/>
  <c r="B23" i="1"/>
  <c r="C23" i="1"/>
  <c r="D23" i="1"/>
  <c r="H23" i="1"/>
  <c r="E23" i="1" s="1"/>
  <c r="I23" i="1"/>
  <c r="F23" i="1" s="1"/>
  <c r="J23" i="1"/>
  <c r="G23" i="1" s="1"/>
  <c r="K23" i="1"/>
  <c r="M23" i="1"/>
  <c r="B24" i="1"/>
  <c r="C24" i="1"/>
  <c r="D24" i="1"/>
  <c r="H24" i="1"/>
  <c r="E24" i="1" s="1"/>
  <c r="I24" i="1"/>
  <c r="F24" i="1" s="1"/>
  <c r="J24" i="1"/>
  <c r="G24" i="1" s="1"/>
  <c r="K24" i="1"/>
  <c r="M24" i="1"/>
  <c r="B25" i="1"/>
  <c r="D25" i="1"/>
  <c r="H25" i="1"/>
  <c r="E25" i="1" s="1"/>
  <c r="J25" i="1"/>
  <c r="G25" i="1" s="1"/>
  <c r="K25" i="1"/>
  <c r="L25" i="1"/>
  <c r="M25" i="1"/>
  <c r="B26" i="1"/>
  <c r="C26" i="1"/>
  <c r="D26" i="1"/>
  <c r="H26" i="1"/>
  <c r="E26" i="1" s="1"/>
  <c r="I26" i="1"/>
  <c r="F26" i="1" s="1"/>
  <c r="J26" i="1"/>
  <c r="G26" i="1" s="1"/>
  <c r="K26" i="1"/>
  <c r="M26" i="1"/>
  <c r="B27" i="1"/>
  <c r="C27" i="1"/>
  <c r="D27" i="1"/>
  <c r="E27" i="1"/>
  <c r="H27" i="1"/>
  <c r="I27" i="1"/>
  <c r="F27" i="1" s="1"/>
  <c r="J27" i="1"/>
  <c r="G27" i="1" s="1"/>
  <c r="K27" i="1"/>
  <c r="M27" i="1"/>
  <c r="B28" i="1"/>
  <c r="C28" i="1"/>
  <c r="D28" i="1"/>
  <c r="H28" i="1"/>
  <c r="E28" i="1" s="1"/>
  <c r="J28" i="1"/>
  <c r="G28" i="1" s="1"/>
  <c r="K28" i="1"/>
  <c r="L28" i="1"/>
  <c r="M28" i="1"/>
  <c r="B29" i="1"/>
  <c r="C29" i="1"/>
  <c r="D29" i="1"/>
  <c r="H29" i="1"/>
  <c r="E29" i="1" s="1"/>
  <c r="I29" i="1"/>
  <c r="F29" i="1" s="1"/>
  <c r="J29" i="1"/>
  <c r="G29" i="1" s="1"/>
  <c r="K29" i="1"/>
  <c r="M29" i="1"/>
  <c r="B30" i="1"/>
  <c r="C30" i="1"/>
  <c r="D30" i="1"/>
  <c r="H30" i="1"/>
  <c r="E30" i="1" s="1"/>
  <c r="I30" i="1"/>
  <c r="F30" i="1" s="1"/>
  <c r="J30" i="1"/>
  <c r="G30" i="1" s="1"/>
  <c r="K30" i="1"/>
  <c r="M30" i="1"/>
  <c r="B31" i="1"/>
  <c r="C31" i="1"/>
  <c r="D31" i="1"/>
  <c r="H31" i="1"/>
  <c r="E31" i="1" s="1"/>
  <c r="I31" i="1"/>
  <c r="F31" i="1" s="1"/>
  <c r="J31" i="1"/>
  <c r="G31" i="1" s="1"/>
  <c r="K31" i="1"/>
  <c r="M3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</calcChain>
</file>

<file path=xl/sharedStrings.xml><?xml version="1.0" encoding="utf-8"?>
<sst xmlns="http://schemas.openxmlformats.org/spreadsheetml/2006/main" count="16" uniqueCount="16">
  <si>
    <t>query_id</t>
  </si>
  <si>
    <t>PCA_vec</t>
  </si>
  <si>
    <t>PCA_api</t>
  </si>
  <si>
    <t>PCA_hyb</t>
  </si>
  <si>
    <t>SS_vec</t>
  </si>
  <si>
    <t>SS_api</t>
  </si>
  <si>
    <t>SS_hyb</t>
  </si>
  <si>
    <t>CPR_vec</t>
  </si>
  <si>
    <t>CPR_api</t>
  </si>
  <si>
    <t>CPR_hyb</t>
  </si>
  <si>
    <t>NR_vec</t>
  </si>
  <si>
    <t>NR_api</t>
  </si>
  <si>
    <t>NR_hyb</t>
  </si>
  <si>
    <t>acc_vec</t>
  </si>
  <si>
    <t>acc_api</t>
  </si>
  <si>
    <t>acc_hyb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</si>
</sst>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inus%20S2\tesis\code\rag-bot-r2\eval\eval_vector_rval1(ada%20rumus).xlsx" TargetMode="External"/><Relationship Id="rId1" Type="http://schemas.openxmlformats.org/officeDocument/2006/relationships/externalLinkPath" Target="eval_vector_rval1(ada%20rumus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inus%20S2\tesis\code\rag-bot-r2\eval\eval_api_rval1.xlsx" TargetMode="External"/><Relationship Id="rId1" Type="http://schemas.openxmlformats.org/officeDocument/2006/relationships/externalLinkPath" Target="eval_api_rval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inus%20S2\tesis\code\rag-bot-r2\eval\eval_hybrid_rval2_recalculate.xlsx" TargetMode="External"/><Relationship Id="rId1" Type="http://schemas.openxmlformats.org/officeDocument/2006/relationships/externalLinkPath" Target="eval_hybrid_rval2_recalcu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_question"/>
      <sheetName val="per_item"/>
      <sheetName val="global_runs"/>
    </sheetNames>
    <sheetDataSet>
      <sheetData sheetId="0">
        <row r="2">
          <cell r="I2">
            <v>1</v>
          </cell>
          <cell r="M2">
            <v>1</v>
          </cell>
          <cell r="P2" t="str">
            <v/>
          </cell>
          <cell r="Q2" t="str">
            <v>TP</v>
          </cell>
        </row>
        <row r="3">
          <cell r="I3">
            <v>1</v>
          </cell>
          <cell r="M3">
            <v>1</v>
          </cell>
          <cell r="P3" t="str">
            <v/>
          </cell>
          <cell r="Q3" t="str">
            <v>TP</v>
          </cell>
        </row>
        <row r="4">
          <cell r="I4">
            <v>1</v>
          </cell>
          <cell r="M4">
            <v>1</v>
          </cell>
          <cell r="P4" t="str">
            <v/>
          </cell>
          <cell r="Q4" t="str">
            <v>TP</v>
          </cell>
        </row>
        <row r="5">
          <cell r="I5">
            <v>0.93333333333333324</v>
          </cell>
          <cell r="M5">
            <v>0.66666666666666663</v>
          </cell>
          <cell r="P5" t="str">
            <v/>
          </cell>
          <cell r="Q5" t="str">
            <v>TP</v>
          </cell>
        </row>
        <row r="6">
          <cell r="I6" t="str">
            <v/>
          </cell>
          <cell r="M6" t="str">
            <v/>
          </cell>
          <cell r="P6">
            <v>0</v>
          </cell>
          <cell r="Q6" t="str">
            <v>FN</v>
          </cell>
        </row>
        <row r="7">
          <cell r="I7" t="str">
            <v/>
          </cell>
          <cell r="M7" t="str">
            <v/>
          </cell>
          <cell r="P7">
            <v>0</v>
          </cell>
          <cell r="Q7" t="str">
            <v>FN</v>
          </cell>
        </row>
        <row r="8">
          <cell r="I8" t="str">
            <v/>
          </cell>
          <cell r="M8" t="str">
            <v/>
          </cell>
          <cell r="P8">
            <v>1</v>
          </cell>
          <cell r="Q8" t="str">
            <v>TN</v>
          </cell>
        </row>
        <row r="9">
          <cell r="I9">
            <v>0.46666666666666662</v>
          </cell>
          <cell r="M9">
            <v>0</v>
          </cell>
          <cell r="P9" t="str">
            <v/>
          </cell>
          <cell r="Q9" t="str">
            <v>FP</v>
          </cell>
        </row>
        <row r="10">
          <cell r="I10" t="str">
            <v/>
          </cell>
          <cell r="M10" t="str">
            <v/>
          </cell>
          <cell r="P10">
            <v>1</v>
          </cell>
          <cell r="Q10" t="str">
            <v>TN</v>
          </cell>
        </row>
        <row r="11">
          <cell r="I11">
            <v>0.66666666666666663</v>
          </cell>
          <cell r="M11">
            <v>0</v>
          </cell>
          <cell r="P11" t="str">
            <v/>
          </cell>
          <cell r="Q11" t="str">
            <v>FN</v>
          </cell>
        </row>
        <row r="12">
          <cell r="I12">
            <v>0.86666666666666659</v>
          </cell>
          <cell r="M12">
            <v>0.6</v>
          </cell>
          <cell r="P12" t="str">
            <v/>
          </cell>
          <cell r="Q12" t="str">
            <v>TP</v>
          </cell>
        </row>
        <row r="13">
          <cell r="I13">
            <v>0.5</v>
          </cell>
          <cell r="M13">
            <v>0</v>
          </cell>
          <cell r="P13" t="str">
            <v/>
          </cell>
          <cell r="Q13" t="str">
            <v>FP</v>
          </cell>
        </row>
        <row r="14">
          <cell r="I14">
            <v>0.9</v>
          </cell>
          <cell r="M14">
            <v>0.4</v>
          </cell>
          <cell r="P14" t="str">
            <v/>
          </cell>
          <cell r="Q14" t="str">
            <v>FN</v>
          </cell>
        </row>
        <row r="15">
          <cell r="I15">
            <v>0.86666666666666681</v>
          </cell>
          <cell r="M15">
            <v>0.2</v>
          </cell>
          <cell r="P15" t="str">
            <v/>
          </cell>
          <cell r="Q15" t="str">
            <v>FN</v>
          </cell>
        </row>
        <row r="16">
          <cell r="I16">
            <v>0.86666666666666681</v>
          </cell>
          <cell r="M16">
            <v>0.2</v>
          </cell>
          <cell r="P16" t="str">
            <v/>
          </cell>
          <cell r="Q16" t="str">
            <v>FN</v>
          </cell>
        </row>
        <row r="17">
          <cell r="I17">
            <v>0.5714285714285714</v>
          </cell>
          <cell r="M17">
            <v>0</v>
          </cell>
          <cell r="P17" t="str">
            <v/>
          </cell>
          <cell r="Q17" t="str">
            <v>FN</v>
          </cell>
        </row>
        <row r="18">
          <cell r="I18">
            <v>0.74285714285714288</v>
          </cell>
          <cell r="M18">
            <v>0</v>
          </cell>
          <cell r="P18" t="str">
            <v/>
          </cell>
          <cell r="Q18" t="str">
            <v>FP</v>
          </cell>
        </row>
        <row r="19">
          <cell r="I19" t="str">
            <v/>
          </cell>
          <cell r="M19" t="str">
            <v/>
          </cell>
          <cell r="P19">
            <v>0</v>
          </cell>
          <cell r="Q19" t="str">
            <v>FN</v>
          </cell>
        </row>
        <row r="20">
          <cell r="I20">
            <v>1</v>
          </cell>
          <cell r="M20">
            <v>1</v>
          </cell>
          <cell r="P20" t="str">
            <v/>
          </cell>
          <cell r="Q20" t="str">
            <v>TP</v>
          </cell>
        </row>
        <row r="21">
          <cell r="I21">
            <v>0.6</v>
          </cell>
          <cell r="M21">
            <v>0.2</v>
          </cell>
          <cell r="P21" t="str">
            <v/>
          </cell>
          <cell r="Q21" t="str">
            <v>FN</v>
          </cell>
        </row>
        <row r="22">
          <cell r="I22">
            <v>0.5</v>
          </cell>
          <cell r="M22">
            <v>0.5</v>
          </cell>
          <cell r="P22" t="str">
            <v/>
          </cell>
          <cell r="Q22" t="str">
            <v>FN</v>
          </cell>
        </row>
        <row r="23">
          <cell r="I23">
            <v>1</v>
          </cell>
          <cell r="M23">
            <v>1</v>
          </cell>
          <cell r="P23" t="str">
            <v/>
          </cell>
          <cell r="Q23" t="str">
            <v>TP</v>
          </cell>
        </row>
        <row r="24">
          <cell r="I24">
            <v>0.6</v>
          </cell>
          <cell r="M24">
            <v>0.6</v>
          </cell>
          <cell r="P24" t="str">
            <v/>
          </cell>
          <cell r="Q24" t="str">
            <v>TP</v>
          </cell>
        </row>
        <row r="25">
          <cell r="I25">
            <v>1</v>
          </cell>
          <cell r="M25">
            <v>1</v>
          </cell>
          <cell r="P25" t="str">
            <v/>
          </cell>
          <cell r="Q25" t="str">
            <v>TP</v>
          </cell>
        </row>
        <row r="26">
          <cell r="I26">
            <v>0.8</v>
          </cell>
          <cell r="M26">
            <v>0.8</v>
          </cell>
          <cell r="P26" t="str">
            <v/>
          </cell>
          <cell r="Q26" t="str">
            <v>TP</v>
          </cell>
        </row>
        <row r="27">
          <cell r="I27">
            <v>0.8</v>
          </cell>
          <cell r="M27">
            <v>0.6</v>
          </cell>
          <cell r="P27" t="str">
            <v/>
          </cell>
          <cell r="Q27" t="str">
            <v>TP</v>
          </cell>
        </row>
        <row r="28">
          <cell r="I28">
            <v>0.75</v>
          </cell>
          <cell r="M28">
            <v>0.5</v>
          </cell>
          <cell r="P28" t="str">
            <v/>
          </cell>
          <cell r="Q28" t="str">
            <v>FN</v>
          </cell>
        </row>
        <row r="29">
          <cell r="I29">
            <v>1</v>
          </cell>
          <cell r="M29">
            <v>1</v>
          </cell>
          <cell r="P29" t="str">
            <v/>
          </cell>
          <cell r="Q29" t="str">
            <v>TP</v>
          </cell>
        </row>
        <row r="30">
          <cell r="I30">
            <v>1</v>
          </cell>
          <cell r="M30">
            <v>1</v>
          </cell>
          <cell r="P30" t="str">
            <v/>
          </cell>
          <cell r="Q30" t="str">
            <v>TP</v>
          </cell>
        </row>
        <row r="31">
          <cell r="I31">
            <v>1</v>
          </cell>
          <cell r="M31">
            <v>1</v>
          </cell>
          <cell r="P31" t="str">
            <v/>
          </cell>
          <cell r="Q31" t="str">
            <v>TP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_question"/>
      <sheetName val="per_item"/>
      <sheetName val="global_runs"/>
    </sheetNames>
    <sheetDataSet>
      <sheetData sheetId="0">
        <row r="2">
          <cell r="I2">
            <v>1</v>
          </cell>
          <cell r="M2">
            <v>1</v>
          </cell>
          <cell r="R2" t="str">
            <v>TP</v>
          </cell>
        </row>
        <row r="3">
          <cell r="I3">
            <v>1</v>
          </cell>
          <cell r="M3">
            <v>1</v>
          </cell>
          <cell r="R3" t="str">
            <v>TP</v>
          </cell>
        </row>
        <row r="4">
          <cell r="I4">
            <v>1</v>
          </cell>
          <cell r="M4">
            <v>1</v>
          </cell>
          <cell r="R4" t="str">
            <v>TP</v>
          </cell>
        </row>
        <row r="5">
          <cell r="I5">
            <v>1</v>
          </cell>
          <cell r="M5">
            <v>1</v>
          </cell>
          <cell r="R5" t="str">
            <v>TP</v>
          </cell>
        </row>
        <row r="6">
          <cell r="I6">
            <v>1</v>
          </cell>
          <cell r="M6">
            <v>1</v>
          </cell>
          <cell r="R6" t="str">
            <v>TP</v>
          </cell>
        </row>
        <row r="7">
          <cell r="I7">
            <v>1</v>
          </cell>
          <cell r="M7">
            <v>1</v>
          </cell>
          <cell r="R7" t="str">
            <v>TP</v>
          </cell>
        </row>
        <row r="8">
          <cell r="Q8">
            <v>1</v>
          </cell>
          <cell r="R8" t="str">
            <v>TN</v>
          </cell>
        </row>
        <row r="9">
          <cell r="Q9">
            <v>1</v>
          </cell>
          <cell r="R9" t="str">
            <v>TN</v>
          </cell>
        </row>
        <row r="10">
          <cell r="I10">
            <v>1</v>
          </cell>
          <cell r="M10">
            <v>1</v>
          </cell>
          <cell r="R10" t="str">
            <v>FP</v>
          </cell>
        </row>
        <row r="11">
          <cell r="I11">
            <v>1</v>
          </cell>
          <cell r="M11">
            <v>1</v>
          </cell>
          <cell r="R11" t="str">
            <v>TP</v>
          </cell>
        </row>
        <row r="12">
          <cell r="I12">
            <v>1</v>
          </cell>
          <cell r="M12">
            <v>1</v>
          </cell>
          <cell r="R12" t="str">
            <v>TP</v>
          </cell>
        </row>
        <row r="13">
          <cell r="Q13">
            <v>1</v>
          </cell>
          <cell r="R13" t="str">
            <v>TN</v>
          </cell>
        </row>
        <row r="14">
          <cell r="I14">
            <v>1</v>
          </cell>
          <cell r="M14">
            <v>1</v>
          </cell>
          <cell r="R14" t="str">
            <v>TP</v>
          </cell>
        </row>
        <row r="15">
          <cell r="I15">
            <v>1</v>
          </cell>
          <cell r="M15">
            <v>1</v>
          </cell>
          <cell r="R15" t="str">
            <v>TP</v>
          </cell>
        </row>
        <row r="16">
          <cell r="I16">
            <v>1</v>
          </cell>
          <cell r="M16">
            <v>1</v>
          </cell>
          <cell r="R16" t="str">
            <v>TP</v>
          </cell>
        </row>
        <row r="17">
          <cell r="I17">
            <v>1</v>
          </cell>
          <cell r="M17">
            <v>1</v>
          </cell>
          <cell r="R17" t="str">
            <v>TP</v>
          </cell>
        </row>
        <row r="18">
          <cell r="Q18">
            <v>1</v>
          </cell>
          <cell r="R18" t="str">
            <v>TN</v>
          </cell>
        </row>
        <row r="19">
          <cell r="I19">
            <v>1</v>
          </cell>
          <cell r="M19">
            <v>1</v>
          </cell>
          <cell r="R19" t="str">
            <v>TP</v>
          </cell>
        </row>
        <row r="20">
          <cell r="Q20">
            <v>0</v>
          </cell>
          <cell r="R20" t="str">
            <v>FN</v>
          </cell>
        </row>
        <row r="21">
          <cell r="Q21">
            <v>0</v>
          </cell>
          <cell r="R21" t="str">
            <v>FN</v>
          </cell>
        </row>
        <row r="22">
          <cell r="I22">
            <v>1</v>
          </cell>
          <cell r="M22">
            <v>1</v>
          </cell>
          <cell r="R22" t="str">
            <v>TP</v>
          </cell>
        </row>
        <row r="23">
          <cell r="I23">
            <v>0</v>
          </cell>
          <cell r="M23">
            <v>0</v>
          </cell>
          <cell r="R23" t="str">
            <v>FN</v>
          </cell>
        </row>
        <row r="24">
          <cell r="I24">
            <v>0</v>
          </cell>
          <cell r="M24">
            <v>0</v>
          </cell>
          <cell r="R24" t="str">
            <v>FN</v>
          </cell>
        </row>
        <row r="25">
          <cell r="Q25">
            <v>0</v>
          </cell>
          <cell r="R25" t="str">
            <v>FN</v>
          </cell>
        </row>
        <row r="26">
          <cell r="I26">
            <v>1</v>
          </cell>
          <cell r="M26">
            <v>1</v>
          </cell>
          <cell r="R26" t="str">
            <v>TP</v>
          </cell>
        </row>
        <row r="27">
          <cell r="I27">
            <v>1</v>
          </cell>
          <cell r="M27">
            <v>1</v>
          </cell>
          <cell r="R27" t="str">
            <v>TP</v>
          </cell>
        </row>
        <row r="28">
          <cell r="Q28">
            <v>0</v>
          </cell>
          <cell r="R28" t="str">
            <v>FN</v>
          </cell>
        </row>
        <row r="29">
          <cell r="I29">
            <v>1</v>
          </cell>
          <cell r="M29">
            <v>1</v>
          </cell>
          <cell r="R29" t="str">
            <v>TP</v>
          </cell>
        </row>
        <row r="30">
          <cell r="I30">
            <v>1</v>
          </cell>
          <cell r="M30">
            <v>1</v>
          </cell>
          <cell r="R30" t="str">
            <v>TP</v>
          </cell>
        </row>
        <row r="31">
          <cell r="I31">
            <v>1</v>
          </cell>
          <cell r="M31">
            <v>1</v>
          </cell>
          <cell r="R31" t="str">
            <v>TP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cap"/>
      <sheetName val="per_question"/>
      <sheetName val="per_item"/>
      <sheetName val="global_runs"/>
    </sheetNames>
    <sheetDataSet>
      <sheetData sheetId="0" refreshError="1"/>
      <sheetData sheetId="1">
        <row r="2">
          <cell r="I2">
            <v>1</v>
          </cell>
          <cell r="M2">
            <v>1</v>
          </cell>
          <cell r="P2" t="str">
            <v/>
          </cell>
          <cell r="Q2" t="str">
            <v>TP</v>
          </cell>
        </row>
        <row r="3">
          <cell r="I3">
            <v>1</v>
          </cell>
          <cell r="M3">
            <v>1</v>
          </cell>
          <cell r="P3" t="str">
            <v/>
          </cell>
          <cell r="Q3" t="str">
            <v>TP</v>
          </cell>
        </row>
        <row r="4">
          <cell r="I4">
            <v>1</v>
          </cell>
          <cell r="M4">
            <v>1</v>
          </cell>
          <cell r="P4" t="str">
            <v/>
          </cell>
          <cell r="Q4" t="str">
            <v>TP</v>
          </cell>
        </row>
        <row r="5">
          <cell r="I5">
            <v>1</v>
          </cell>
          <cell r="M5">
            <v>1</v>
          </cell>
          <cell r="P5" t="str">
            <v/>
          </cell>
          <cell r="Q5" t="str">
            <v>TP</v>
          </cell>
        </row>
        <row r="6">
          <cell r="I6">
            <v>1</v>
          </cell>
          <cell r="M6">
            <v>1</v>
          </cell>
          <cell r="P6" t="str">
            <v/>
          </cell>
          <cell r="Q6" t="str">
            <v>TP</v>
          </cell>
        </row>
        <row r="7">
          <cell r="I7">
            <v>1</v>
          </cell>
          <cell r="M7">
            <v>1</v>
          </cell>
          <cell r="P7" t="str">
            <v/>
          </cell>
          <cell r="Q7" t="str">
            <v>TP</v>
          </cell>
        </row>
        <row r="8">
          <cell r="I8" t="str">
            <v/>
          </cell>
          <cell r="M8" t="str">
            <v/>
          </cell>
          <cell r="P8">
            <v>1</v>
          </cell>
          <cell r="Q8" t="str">
            <v>TN</v>
          </cell>
        </row>
        <row r="9">
          <cell r="I9" t="str">
            <v/>
          </cell>
          <cell r="M9" t="str">
            <v/>
          </cell>
          <cell r="P9">
            <v>1</v>
          </cell>
          <cell r="Q9" t="str">
            <v>TN</v>
          </cell>
        </row>
        <row r="10">
          <cell r="I10">
            <v>0.5</v>
          </cell>
          <cell r="M10">
            <v>0</v>
          </cell>
          <cell r="P10" t="str">
            <v/>
          </cell>
          <cell r="Q10" t="str">
            <v>FP</v>
          </cell>
        </row>
        <row r="11">
          <cell r="I11">
            <v>1</v>
          </cell>
          <cell r="M11">
            <v>1</v>
          </cell>
          <cell r="P11" t="str">
            <v/>
          </cell>
          <cell r="Q11" t="str">
            <v>TP</v>
          </cell>
        </row>
        <row r="12">
          <cell r="I12">
            <v>0.74999999999999989</v>
          </cell>
          <cell r="M12">
            <v>0.25</v>
          </cell>
          <cell r="P12" t="str">
            <v/>
          </cell>
          <cell r="Q12" t="str">
            <v>FN</v>
          </cell>
        </row>
        <row r="13">
          <cell r="I13" t="str">
            <v/>
          </cell>
          <cell r="M13" t="str">
            <v/>
          </cell>
          <cell r="P13">
            <v>1</v>
          </cell>
          <cell r="Q13" t="str">
            <v>TN</v>
          </cell>
        </row>
        <row r="14">
          <cell r="I14">
            <v>1</v>
          </cell>
          <cell r="M14">
            <v>1</v>
          </cell>
          <cell r="P14" t="str">
            <v/>
          </cell>
          <cell r="Q14" t="str">
            <v>TP</v>
          </cell>
        </row>
        <row r="15">
          <cell r="I15">
            <v>1</v>
          </cell>
          <cell r="M15">
            <v>1</v>
          </cell>
          <cell r="P15" t="str">
            <v/>
          </cell>
          <cell r="Q15" t="str">
            <v>TP</v>
          </cell>
        </row>
        <row r="16">
          <cell r="I16">
            <v>1</v>
          </cell>
          <cell r="M16">
            <v>1</v>
          </cell>
          <cell r="P16" t="str">
            <v/>
          </cell>
          <cell r="Q16" t="str">
            <v>TP</v>
          </cell>
        </row>
        <row r="17">
          <cell r="I17">
            <v>1</v>
          </cell>
          <cell r="M17">
            <v>1</v>
          </cell>
          <cell r="P17" t="str">
            <v/>
          </cell>
          <cell r="Q17" t="str">
            <v>TP</v>
          </cell>
        </row>
        <row r="18">
          <cell r="I18">
            <v>0</v>
          </cell>
          <cell r="M18">
            <v>0</v>
          </cell>
          <cell r="P18" t="str">
            <v/>
          </cell>
          <cell r="Q18" t="str">
            <v>FP</v>
          </cell>
        </row>
        <row r="19">
          <cell r="I19">
            <v>1</v>
          </cell>
          <cell r="M19">
            <v>1</v>
          </cell>
          <cell r="P19" t="str">
            <v/>
          </cell>
          <cell r="Q19" t="str">
            <v>TP</v>
          </cell>
        </row>
        <row r="20">
          <cell r="I20">
            <v>0.66666666666666663</v>
          </cell>
          <cell r="M20">
            <v>0.66666666666666663</v>
          </cell>
          <cell r="P20" t="str">
            <v/>
          </cell>
          <cell r="Q20" t="str">
            <v>TP</v>
          </cell>
        </row>
        <row r="21">
          <cell r="I21">
            <v>0.6</v>
          </cell>
          <cell r="M21">
            <v>0.2</v>
          </cell>
          <cell r="P21" t="str">
            <v/>
          </cell>
          <cell r="Q21" t="str">
            <v>FN</v>
          </cell>
        </row>
        <row r="22">
          <cell r="I22">
            <v>1</v>
          </cell>
          <cell r="M22">
            <v>1</v>
          </cell>
          <cell r="P22" t="str">
            <v/>
          </cell>
          <cell r="Q22" t="str">
            <v>TP</v>
          </cell>
        </row>
        <row r="23">
          <cell r="I23">
            <v>0.6</v>
          </cell>
          <cell r="M23">
            <v>0.6</v>
          </cell>
          <cell r="P23" t="str">
            <v/>
          </cell>
          <cell r="Q23" t="str">
            <v>TP</v>
          </cell>
        </row>
        <row r="24">
          <cell r="I24">
            <v>1</v>
          </cell>
          <cell r="M24">
            <v>1</v>
          </cell>
          <cell r="P24" t="str">
            <v/>
          </cell>
          <cell r="Q24" t="str">
            <v>TP</v>
          </cell>
        </row>
        <row r="25">
          <cell r="I25">
            <v>1</v>
          </cell>
          <cell r="M25">
            <v>1</v>
          </cell>
          <cell r="P25" t="str">
            <v/>
          </cell>
          <cell r="Q25" t="str">
            <v>TP</v>
          </cell>
        </row>
        <row r="26">
          <cell r="I26">
            <v>1</v>
          </cell>
          <cell r="M26">
            <v>1</v>
          </cell>
          <cell r="P26" t="str">
            <v/>
          </cell>
          <cell r="Q26" t="str">
            <v>TP</v>
          </cell>
        </row>
        <row r="27">
          <cell r="I27">
            <v>1</v>
          </cell>
          <cell r="M27">
            <v>1</v>
          </cell>
          <cell r="P27" t="str">
            <v/>
          </cell>
          <cell r="Q27" t="str">
            <v>TP</v>
          </cell>
        </row>
        <row r="28">
          <cell r="I28">
            <v>1</v>
          </cell>
          <cell r="M28">
            <v>1</v>
          </cell>
          <cell r="P28" t="str">
            <v/>
          </cell>
          <cell r="Q28" t="str">
            <v>TP</v>
          </cell>
        </row>
        <row r="29">
          <cell r="I29">
            <v>1</v>
          </cell>
          <cell r="M29">
            <v>1</v>
          </cell>
          <cell r="P29" t="str">
            <v/>
          </cell>
          <cell r="Q29" t="str">
            <v>TP</v>
          </cell>
        </row>
        <row r="30">
          <cell r="I30">
            <v>1</v>
          </cell>
          <cell r="M30">
            <v>1</v>
          </cell>
          <cell r="P30" t="str">
            <v/>
          </cell>
          <cell r="Q30" t="str">
            <v>TP</v>
          </cell>
        </row>
        <row r="31">
          <cell r="I31">
            <v>1</v>
          </cell>
          <cell r="M31">
            <v>1</v>
          </cell>
          <cell r="P31" t="str">
            <v/>
          </cell>
          <cell r="Q31" t="str">
            <v>TP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98B0-696E-4A83-977C-A4B2B2ACFEC9}">
  <dimension ref="A1:P31"/>
  <sheetViews>
    <sheetView tabSelected="1" workbookViewId="0">
      <selection activeCell="P9" sqref="P9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1">
        <f>[1]per_question!I2</f>
        <v>1</v>
      </c>
      <c r="C2" s="1">
        <f>[2]per_question!I2</f>
        <v>1</v>
      </c>
      <c r="D2" s="1">
        <f>[3]per_question!I2</f>
        <v>1</v>
      </c>
      <c r="E2">
        <f t="shared" ref="E2:F2" si="0">IF(H2&gt;=0.6,1,0)</f>
        <v>1</v>
      </c>
      <c r="F2">
        <f t="shared" si="0"/>
        <v>1</v>
      </c>
      <c r="G2">
        <f>IF(J2&gt;=0.6,1,0)</f>
        <v>1</v>
      </c>
      <c r="H2" s="1">
        <f>[1]per_question!M2</f>
        <v>1</v>
      </c>
      <c r="I2" s="1">
        <f>[2]per_question!M2</f>
        <v>1</v>
      </c>
      <c r="J2" s="1">
        <f>[3]per_question!M2</f>
        <v>1</v>
      </c>
      <c r="K2" t="str">
        <f>[1]per_question!P2</f>
        <v/>
      </c>
      <c r="M2" t="str">
        <f>[3]per_question!P2</f>
        <v/>
      </c>
      <c r="N2">
        <f>IF(OR([1]per_question!Q2="TP",[1]per_question!Q2="TN"),1,0)</f>
        <v>1</v>
      </c>
      <c r="O2">
        <f>IF(OR([2]per_question!R2="TP",[2]per_question!R2="TN"),1,0)</f>
        <v>1</v>
      </c>
      <c r="P2">
        <f>IF(OR([3]per_question!Q2="TP",[3]per_question!Q2="TN"),1,0)</f>
        <v>1</v>
      </c>
    </row>
    <row r="3" spans="1:16" x14ac:dyDescent="0.3">
      <c r="A3">
        <v>2</v>
      </c>
      <c r="B3" s="1">
        <f>[1]per_question!I3</f>
        <v>1</v>
      </c>
      <c r="C3" s="1">
        <f>[2]per_question!I3</f>
        <v>1</v>
      </c>
      <c r="D3" s="1">
        <f>[3]per_question!I3</f>
        <v>1</v>
      </c>
      <c r="E3">
        <f t="shared" ref="E3:E31" si="1">IF(H3&gt;=0.6,1,0)</f>
        <v>1</v>
      </c>
      <c r="F3">
        <f t="shared" ref="F3:F31" si="2">IF(I3&gt;=0.6,1,0)</f>
        <v>1</v>
      </c>
      <c r="G3">
        <f t="shared" ref="G3:G31" si="3">IF(J3&gt;=0.6,1,0)</f>
        <v>1</v>
      </c>
      <c r="H3" s="1">
        <f>[1]per_question!M3</f>
        <v>1</v>
      </c>
      <c r="I3" s="1">
        <f>[2]per_question!M3</f>
        <v>1</v>
      </c>
      <c r="J3" s="1">
        <f>[3]per_question!M3</f>
        <v>1</v>
      </c>
      <c r="K3" t="str">
        <f>[1]per_question!P3</f>
        <v/>
      </c>
      <c r="M3" t="str">
        <f>[3]per_question!P3</f>
        <v/>
      </c>
      <c r="N3">
        <f>IF(OR([1]per_question!Q3="TP",[1]per_question!Q3="TN"),1,0)</f>
        <v>1</v>
      </c>
      <c r="O3">
        <f>IF(OR([2]per_question!R3="TP",[2]per_question!R3="TN"),1,0)</f>
        <v>1</v>
      </c>
      <c r="P3">
        <f>IF(OR([3]per_question!Q3="TP",[3]per_question!Q3="TN"),1,0)</f>
        <v>1</v>
      </c>
    </row>
    <row r="4" spans="1:16" x14ac:dyDescent="0.3">
      <c r="A4">
        <v>3</v>
      </c>
      <c r="B4" s="1">
        <f>[1]per_question!I4</f>
        <v>1</v>
      </c>
      <c r="C4" s="1">
        <f>[2]per_question!I4</f>
        <v>1</v>
      </c>
      <c r="D4" s="1">
        <f>[3]per_question!I4</f>
        <v>1</v>
      </c>
      <c r="E4">
        <f t="shared" si="1"/>
        <v>1</v>
      </c>
      <c r="F4">
        <f t="shared" si="2"/>
        <v>1</v>
      </c>
      <c r="G4">
        <f t="shared" si="3"/>
        <v>1</v>
      </c>
      <c r="H4" s="1">
        <f>[1]per_question!M4</f>
        <v>1</v>
      </c>
      <c r="I4" s="1">
        <f>[2]per_question!M4</f>
        <v>1</v>
      </c>
      <c r="J4" s="1">
        <f>[3]per_question!M4</f>
        <v>1</v>
      </c>
      <c r="K4" t="str">
        <f>[1]per_question!P4</f>
        <v/>
      </c>
      <c r="M4" t="str">
        <f>[3]per_question!P4</f>
        <v/>
      </c>
      <c r="N4">
        <f>IF(OR([1]per_question!Q4="TP",[1]per_question!Q4="TN"),1,0)</f>
        <v>1</v>
      </c>
      <c r="O4">
        <f>IF(OR([2]per_question!R4="TP",[2]per_question!R4="TN"),1,0)</f>
        <v>1</v>
      </c>
      <c r="P4">
        <f>IF(OR([3]per_question!Q4="TP",[3]per_question!Q4="TN"),1,0)</f>
        <v>1</v>
      </c>
    </row>
    <row r="5" spans="1:16" x14ac:dyDescent="0.3">
      <c r="A5">
        <v>4</v>
      </c>
      <c r="B5" s="1">
        <f>[1]per_question!I5</f>
        <v>0.93333333333333324</v>
      </c>
      <c r="C5" s="1">
        <f>[2]per_question!I5</f>
        <v>1</v>
      </c>
      <c r="D5" s="1">
        <f>[3]per_question!I5</f>
        <v>1</v>
      </c>
      <c r="E5">
        <f t="shared" si="1"/>
        <v>1</v>
      </c>
      <c r="F5">
        <f t="shared" si="2"/>
        <v>1</v>
      </c>
      <c r="G5">
        <f t="shared" si="3"/>
        <v>1</v>
      </c>
      <c r="H5" s="1">
        <f>[1]per_question!M5</f>
        <v>0.66666666666666663</v>
      </c>
      <c r="I5" s="1">
        <f>[2]per_question!M5</f>
        <v>1</v>
      </c>
      <c r="J5" s="1">
        <f>[3]per_question!M5</f>
        <v>1</v>
      </c>
      <c r="K5" t="str">
        <f>[1]per_question!P5</f>
        <v/>
      </c>
      <c r="M5" t="str">
        <f>[3]per_question!P5</f>
        <v/>
      </c>
      <c r="N5">
        <f>IF(OR([1]per_question!Q5="TP",[1]per_question!Q5="TN"),1,0)</f>
        <v>1</v>
      </c>
      <c r="O5">
        <f>IF(OR([2]per_question!R5="TP",[2]per_question!R5="TN"),1,0)</f>
        <v>1</v>
      </c>
      <c r="P5">
        <f>IF(OR([3]per_question!Q5="TP",[3]per_question!Q5="TN"),1,0)</f>
        <v>1</v>
      </c>
    </row>
    <row r="6" spans="1:16" x14ac:dyDescent="0.3">
      <c r="A6">
        <v>5</v>
      </c>
      <c r="B6" s="1" t="str">
        <f>[1]per_question!I6</f>
        <v/>
      </c>
      <c r="C6" s="1">
        <f>[2]per_question!I6</f>
        <v>1</v>
      </c>
      <c r="D6" s="1">
        <f>[3]per_question!I6</f>
        <v>1</v>
      </c>
      <c r="F6">
        <f t="shared" si="2"/>
        <v>1</v>
      </c>
      <c r="G6">
        <f t="shared" si="3"/>
        <v>1</v>
      </c>
      <c r="H6" s="1" t="str">
        <f>[1]per_question!M6</f>
        <v/>
      </c>
      <c r="I6" s="1">
        <f>[2]per_question!M6</f>
        <v>1</v>
      </c>
      <c r="J6" s="1">
        <f>[3]per_question!M6</f>
        <v>1</v>
      </c>
      <c r="K6">
        <f>[1]per_question!P6</f>
        <v>0</v>
      </c>
      <c r="M6" t="str">
        <f>[3]per_question!P6</f>
        <v/>
      </c>
      <c r="N6">
        <f>IF(OR([1]per_question!Q6="TP",[1]per_question!Q6="TN"),1,0)</f>
        <v>0</v>
      </c>
      <c r="O6">
        <f>IF(OR([2]per_question!R6="TP",[2]per_question!R6="TN"),1,0)</f>
        <v>1</v>
      </c>
      <c r="P6">
        <f>IF(OR([3]per_question!Q6="TP",[3]per_question!Q6="TN"),1,0)</f>
        <v>1</v>
      </c>
    </row>
    <row r="7" spans="1:16" x14ac:dyDescent="0.3">
      <c r="A7">
        <v>6</v>
      </c>
      <c r="B7" s="1" t="str">
        <f>[1]per_question!I7</f>
        <v/>
      </c>
      <c r="C7" s="1">
        <f>[2]per_question!I7</f>
        <v>1</v>
      </c>
      <c r="D7" s="1">
        <f>[3]per_question!I7</f>
        <v>1</v>
      </c>
      <c r="F7">
        <f t="shared" si="2"/>
        <v>1</v>
      </c>
      <c r="G7">
        <f t="shared" si="3"/>
        <v>1</v>
      </c>
      <c r="H7" s="1" t="str">
        <f>[1]per_question!M7</f>
        <v/>
      </c>
      <c r="I7" s="1">
        <f>[2]per_question!M7</f>
        <v>1</v>
      </c>
      <c r="J7" s="1">
        <f>[3]per_question!M7</f>
        <v>1</v>
      </c>
      <c r="K7">
        <f>[1]per_question!P7</f>
        <v>0</v>
      </c>
      <c r="M7" t="str">
        <f>[3]per_question!P7</f>
        <v/>
      </c>
      <c r="N7">
        <f>IF(OR([1]per_question!Q7="TP",[1]per_question!Q7="TN"),1,0)</f>
        <v>0</v>
      </c>
      <c r="O7">
        <f>IF(OR([2]per_question!R7="TP",[2]per_question!R7="TN"),1,0)</f>
        <v>1</v>
      </c>
      <c r="P7">
        <f>IF(OR([3]per_question!Q7="TP",[3]per_question!Q7="TN"),1,0)</f>
        <v>1</v>
      </c>
    </row>
    <row r="8" spans="1:16" x14ac:dyDescent="0.3">
      <c r="A8">
        <v>7</v>
      </c>
      <c r="B8" s="1" t="str">
        <f>[1]per_question!I8</f>
        <v/>
      </c>
      <c r="C8" s="1"/>
      <c r="D8" s="1" t="str">
        <f>[3]per_question!I8</f>
        <v/>
      </c>
      <c r="H8" s="1" t="str">
        <f>[1]per_question!M8</f>
        <v/>
      </c>
      <c r="I8" s="1"/>
      <c r="J8" s="1" t="str">
        <f>[3]per_question!M8</f>
        <v/>
      </c>
      <c r="K8">
        <f>[1]per_question!P8</f>
        <v>1</v>
      </c>
      <c r="L8">
        <f>[2]per_question!Q8</f>
        <v>1</v>
      </c>
      <c r="M8">
        <f>[3]per_question!P8</f>
        <v>1</v>
      </c>
      <c r="N8">
        <f>IF(OR([1]per_question!Q8="TP",[1]per_question!Q8="TN"),1,0)</f>
        <v>1</v>
      </c>
      <c r="O8">
        <f>IF(OR([2]per_question!R8="TP",[2]per_question!R8="TN"),1,0)</f>
        <v>1</v>
      </c>
      <c r="P8">
        <f>IF(OR([3]per_question!Q8="TP",[3]per_question!Q8="TN"),1,0)</f>
        <v>1</v>
      </c>
    </row>
    <row r="9" spans="1:16" x14ac:dyDescent="0.3">
      <c r="A9">
        <v>8</v>
      </c>
      <c r="B9" s="1">
        <f>[1]per_question!I9</f>
        <v>0.46666666666666662</v>
      </c>
      <c r="C9" s="1"/>
      <c r="D9" s="1" t="str">
        <f>[3]per_question!I9</f>
        <v/>
      </c>
      <c r="E9">
        <f t="shared" si="1"/>
        <v>0</v>
      </c>
      <c r="H9" s="1">
        <f>[1]per_question!M9</f>
        <v>0</v>
      </c>
      <c r="I9" s="1"/>
      <c r="J9" s="1" t="str">
        <f>[3]per_question!M9</f>
        <v/>
      </c>
      <c r="K9" t="str">
        <f>[1]per_question!P9</f>
        <v/>
      </c>
      <c r="L9">
        <f>[2]per_question!Q9</f>
        <v>1</v>
      </c>
      <c r="M9">
        <f>[3]per_question!P9</f>
        <v>1</v>
      </c>
      <c r="N9">
        <f>IF(OR([1]per_question!Q9="TP",[1]per_question!Q9="TN"),1,0)</f>
        <v>0</v>
      </c>
      <c r="O9">
        <f>IF(OR([2]per_question!R9="TP",[2]per_question!R9="TN"),1,0)</f>
        <v>1</v>
      </c>
      <c r="P9">
        <f>IF(OR([3]per_question!Q9="TP",[3]per_question!Q9="TN"),1,0)</f>
        <v>1</v>
      </c>
    </row>
    <row r="10" spans="1:16" x14ac:dyDescent="0.3">
      <c r="A10">
        <v>9</v>
      </c>
      <c r="B10" s="1" t="str">
        <f>[1]per_question!I10</f>
        <v/>
      </c>
      <c r="C10" s="1">
        <f>[2]per_question!I10</f>
        <v>1</v>
      </c>
      <c r="D10" s="1">
        <f>[3]per_question!I10</f>
        <v>0.5</v>
      </c>
      <c r="F10">
        <f t="shared" si="2"/>
        <v>1</v>
      </c>
      <c r="G10">
        <f t="shared" si="3"/>
        <v>0</v>
      </c>
      <c r="H10" s="1" t="str">
        <f>[1]per_question!M10</f>
        <v/>
      </c>
      <c r="I10" s="1">
        <f>[2]per_question!M10</f>
        <v>1</v>
      </c>
      <c r="J10" s="1">
        <f>[3]per_question!M10</f>
        <v>0</v>
      </c>
      <c r="K10">
        <f>[1]per_question!P10</f>
        <v>1</v>
      </c>
      <c r="M10" t="str">
        <f>[3]per_question!P10</f>
        <v/>
      </c>
      <c r="N10">
        <f>IF(OR([1]per_question!Q10="TP",[1]per_question!Q10="TN"),1,0)</f>
        <v>1</v>
      </c>
      <c r="O10">
        <f>IF(OR([2]per_question!R10="TP",[2]per_question!R10="TN"),1,0)</f>
        <v>0</v>
      </c>
      <c r="P10">
        <f>IF(OR([3]per_question!Q10="TP",[3]per_question!Q10="TN"),1,0)</f>
        <v>0</v>
      </c>
    </row>
    <row r="11" spans="1:16" x14ac:dyDescent="0.3">
      <c r="A11">
        <v>10</v>
      </c>
      <c r="B11" s="1">
        <f>[1]per_question!I11</f>
        <v>0.66666666666666663</v>
      </c>
      <c r="C11" s="1">
        <f>[2]per_question!I11</f>
        <v>1</v>
      </c>
      <c r="D11" s="1">
        <f>[3]per_question!I11</f>
        <v>1</v>
      </c>
      <c r="E11">
        <f t="shared" si="1"/>
        <v>0</v>
      </c>
      <c r="F11">
        <f t="shared" si="2"/>
        <v>1</v>
      </c>
      <c r="G11">
        <f t="shared" si="3"/>
        <v>1</v>
      </c>
      <c r="H11" s="1">
        <f>[1]per_question!M11</f>
        <v>0</v>
      </c>
      <c r="I11" s="1">
        <f>[2]per_question!M11</f>
        <v>1</v>
      </c>
      <c r="J11" s="1">
        <f>[3]per_question!M11</f>
        <v>1</v>
      </c>
      <c r="K11" t="str">
        <f>[1]per_question!P11</f>
        <v/>
      </c>
      <c r="M11" t="str">
        <f>[3]per_question!P11</f>
        <v/>
      </c>
      <c r="N11">
        <f>IF(OR([1]per_question!Q11="TP",[1]per_question!Q11="TN"),1,0)</f>
        <v>0</v>
      </c>
      <c r="O11">
        <f>IF(OR([2]per_question!R11="TP",[2]per_question!R11="TN"),1,0)</f>
        <v>1</v>
      </c>
      <c r="P11">
        <f>IF(OR([3]per_question!Q11="TP",[3]per_question!Q11="TN"),1,0)</f>
        <v>1</v>
      </c>
    </row>
    <row r="12" spans="1:16" x14ac:dyDescent="0.3">
      <c r="A12">
        <v>11</v>
      </c>
      <c r="B12" s="1">
        <f>[1]per_question!I12</f>
        <v>0.86666666666666659</v>
      </c>
      <c r="C12" s="1">
        <f>[2]per_question!I12</f>
        <v>1</v>
      </c>
      <c r="D12" s="1">
        <f>[3]per_question!I12</f>
        <v>0.74999999999999989</v>
      </c>
      <c r="E12">
        <f t="shared" si="1"/>
        <v>1</v>
      </c>
      <c r="F12">
        <f t="shared" si="2"/>
        <v>1</v>
      </c>
      <c r="G12">
        <f t="shared" si="3"/>
        <v>0</v>
      </c>
      <c r="H12" s="1">
        <f>[1]per_question!M12</f>
        <v>0.6</v>
      </c>
      <c r="I12" s="1">
        <f>[2]per_question!M12</f>
        <v>1</v>
      </c>
      <c r="J12" s="1">
        <f>[3]per_question!M12</f>
        <v>0.25</v>
      </c>
      <c r="K12" t="str">
        <f>[1]per_question!P12</f>
        <v/>
      </c>
      <c r="M12" t="str">
        <f>[3]per_question!P12</f>
        <v/>
      </c>
      <c r="N12">
        <f>IF(OR([1]per_question!Q12="TP",[1]per_question!Q12="TN"),1,0)</f>
        <v>1</v>
      </c>
      <c r="O12">
        <f>IF(OR([2]per_question!R12="TP",[2]per_question!R12="TN"),1,0)</f>
        <v>1</v>
      </c>
      <c r="P12">
        <f>IF(OR([3]per_question!Q12="TP",[3]per_question!Q12="TN"),1,0)</f>
        <v>0</v>
      </c>
    </row>
    <row r="13" spans="1:16" x14ac:dyDescent="0.3">
      <c r="A13">
        <v>12</v>
      </c>
      <c r="B13" s="1">
        <f>[1]per_question!I13</f>
        <v>0.5</v>
      </c>
      <c r="C13" s="1"/>
      <c r="D13" s="1" t="str">
        <f>[3]per_question!I13</f>
        <v/>
      </c>
      <c r="E13">
        <f t="shared" si="1"/>
        <v>0</v>
      </c>
      <c r="H13" s="1">
        <f>[1]per_question!M13</f>
        <v>0</v>
      </c>
      <c r="I13" s="1"/>
      <c r="J13" s="1" t="str">
        <f>[3]per_question!M13</f>
        <v/>
      </c>
      <c r="K13" t="str">
        <f>[1]per_question!P13</f>
        <v/>
      </c>
      <c r="L13">
        <f>[2]per_question!Q13</f>
        <v>1</v>
      </c>
      <c r="M13">
        <f>[3]per_question!P13</f>
        <v>1</v>
      </c>
      <c r="N13">
        <f>IF(OR([1]per_question!Q13="TP",[1]per_question!Q13="TN"),1,0)</f>
        <v>0</v>
      </c>
      <c r="O13">
        <f>IF(OR([2]per_question!R13="TP",[2]per_question!R13="TN"),1,0)</f>
        <v>1</v>
      </c>
      <c r="P13">
        <f>IF(OR([3]per_question!Q13="TP",[3]per_question!Q13="TN"),1,0)</f>
        <v>1</v>
      </c>
    </row>
    <row r="14" spans="1:16" x14ac:dyDescent="0.3">
      <c r="A14">
        <v>13</v>
      </c>
      <c r="B14" s="1">
        <f>[1]per_question!I14</f>
        <v>0.9</v>
      </c>
      <c r="C14" s="1">
        <f>[2]per_question!I14</f>
        <v>1</v>
      </c>
      <c r="D14" s="1">
        <f>[3]per_question!I14</f>
        <v>1</v>
      </c>
      <c r="E14">
        <f t="shared" si="1"/>
        <v>0</v>
      </c>
      <c r="F14">
        <f t="shared" si="2"/>
        <v>1</v>
      </c>
      <c r="G14">
        <f t="shared" si="3"/>
        <v>1</v>
      </c>
      <c r="H14" s="1">
        <f>[1]per_question!M14</f>
        <v>0.4</v>
      </c>
      <c r="I14" s="1">
        <f>[2]per_question!M14</f>
        <v>1</v>
      </c>
      <c r="J14" s="1">
        <f>[3]per_question!M14</f>
        <v>1</v>
      </c>
      <c r="K14" t="str">
        <f>[1]per_question!P14</f>
        <v/>
      </c>
      <c r="M14" t="str">
        <f>[3]per_question!P14</f>
        <v/>
      </c>
      <c r="N14">
        <f>IF(OR([1]per_question!Q14="TP",[1]per_question!Q14="TN"),1,0)</f>
        <v>0</v>
      </c>
      <c r="O14">
        <f>IF(OR([2]per_question!R14="TP",[2]per_question!R14="TN"),1,0)</f>
        <v>1</v>
      </c>
      <c r="P14">
        <f>IF(OR([3]per_question!Q14="TP",[3]per_question!Q14="TN"),1,0)</f>
        <v>1</v>
      </c>
    </row>
    <row r="15" spans="1:16" x14ac:dyDescent="0.3">
      <c r="A15">
        <v>14</v>
      </c>
      <c r="B15" s="1">
        <f>[1]per_question!I15</f>
        <v>0.86666666666666681</v>
      </c>
      <c r="C15" s="1">
        <f>[2]per_question!I15</f>
        <v>1</v>
      </c>
      <c r="D15" s="1">
        <f>[3]per_question!I15</f>
        <v>1</v>
      </c>
      <c r="E15">
        <f t="shared" si="1"/>
        <v>0</v>
      </c>
      <c r="F15">
        <f t="shared" si="2"/>
        <v>1</v>
      </c>
      <c r="G15">
        <f t="shared" si="3"/>
        <v>1</v>
      </c>
      <c r="H15" s="1">
        <f>[1]per_question!M15</f>
        <v>0.2</v>
      </c>
      <c r="I15" s="1">
        <f>[2]per_question!M15</f>
        <v>1</v>
      </c>
      <c r="J15" s="1">
        <f>[3]per_question!M15</f>
        <v>1</v>
      </c>
      <c r="K15" t="str">
        <f>[1]per_question!P15</f>
        <v/>
      </c>
      <c r="M15" t="str">
        <f>[3]per_question!P15</f>
        <v/>
      </c>
      <c r="N15">
        <f>IF(OR([1]per_question!Q15="TP",[1]per_question!Q15="TN"),1,0)</f>
        <v>0</v>
      </c>
      <c r="O15">
        <f>IF(OR([2]per_question!R15="TP",[2]per_question!R15="TN"),1,0)</f>
        <v>1</v>
      </c>
      <c r="P15">
        <f>IF(OR([3]per_question!Q15="TP",[3]per_question!Q15="TN"),1,0)</f>
        <v>1</v>
      </c>
    </row>
    <row r="16" spans="1:16" x14ac:dyDescent="0.3">
      <c r="A16">
        <v>15</v>
      </c>
      <c r="B16" s="1">
        <f>[1]per_question!I16</f>
        <v>0.86666666666666681</v>
      </c>
      <c r="C16" s="1">
        <f>[2]per_question!I16</f>
        <v>1</v>
      </c>
      <c r="D16" s="1">
        <f>[3]per_question!I16</f>
        <v>1</v>
      </c>
      <c r="E16">
        <f t="shared" si="1"/>
        <v>0</v>
      </c>
      <c r="F16">
        <f t="shared" si="2"/>
        <v>1</v>
      </c>
      <c r="G16">
        <f t="shared" si="3"/>
        <v>1</v>
      </c>
      <c r="H16" s="1">
        <f>[1]per_question!M16</f>
        <v>0.2</v>
      </c>
      <c r="I16" s="1">
        <f>[2]per_question!M16</f>
        <v>1</v>
      </c>
      <c r="J16" s="1">
        <f>[3]per_question!M16</f>
        <v>1</v>
      </c>
      <c r="K16" t="str">
        <f>[1]per_question!P16</f>
        <v/>
      </c>
      <c r="M16" t="str">
        <f>[3]per_question!P16</f>
        <v/>
      </c>
      <c r="N16">
        <f>IF(OR([1]per_question!Q16="TP",[1]per_question!Q16="TN"),1,0)</f>
        <v>0</v>
      </c>
      <c r="O16">
        <f>IF(OR([2]per_question!R16="TP",[2]per_question!R16="TN"),1,0)</f>
        <v>1</v>
      </c>
      <c r="P16">
        <f>IF(OR([3]per_question!Q16="TP",[3]per_question!Q16="TN"),1,0)</f>
        <v>1</v>
      </c>
    </row>
    <row r="17" spans="1:16" x14ac:dyDescent="0.3">
      <c r="A17">
        <v>16</v>
      </c>
      <c r="B17" s="1">
        <f>[1]per_question!I17</f>
        <v>0.5714285714285714</v>
      </c>
      <c r="C17" s="1">
        <f>[2]per_question!I17</f>
        <v>1</v>
      </c>
      <c r="D17" s="1">
        <f>[3]per_question!I17</f>
        <v>1</v>
      </c>
      <c r="E17">
        <f t="shared" si="1"/>
        <v>0</v>
      </c>
      <c r="F17">
        <f t="shared" si="2"/>
        <v>1</v>
      </c>
      <c r="G17">
        <f t="shared" si="3"/>
        <v>1</v>
      </c>
      <c r="H17" s="1">
        <f>[1]per_question!M17</f>
        <v>0</v>
      </c>
      <c r="I17" s="1">
        <f>[2]per_question!M17</f>
        <v>1</v>
      </c>
      <c r="J17" s="1">
        <f>[3]per_question!M17</f>
        <v>1</v>
      </c>
      <c r="K17" t="str">
        <f>[1]per_question!P17</f>
        <v/>
      </c>
      <c r="M17" t="str">
        <f>[3]per_question!P17</f>
        <v/>
      </c>
      <c r="N17">
        <f>IF(OR([1]per_question!Q17="TP",[1]per_question!Q17="TN"),1,0)</f>
        <v>0</v>
      </c>
      <c r="O17">
        <f>IF(OR([2]per_question!R17="TP",[2]per_question!R17="TN"),1,0)</f>
        <v>1</v>
      </c>
      <c r="P17">
        <f>IF(OR([3]per_question!Q17="TP",[3]per_question!Q17="TN"),1,0)</f>
        <v>1</v>
      </c>
    </row>
    <row r="18" spans="1:16" x14ac:dyDescent="0.3">
      <c r="A18">
        <v>17</v>
      </c>
      <c r="B18" s="1">
        <f>[1]per_question!I18</f>
        <v>0.74285714285714288</v>
      </c>
      <c r="C18" s="1"/>
      <c r="D18" s="1">
        <f>[3]per_question!I18</f>
        <v>0</v>
      </c>
      <c r="E18">
        <f t="shared" si="1"/>
        <v>0</v>
      </c>
      <c r="G18">
        <f t="shared" si="3"/>
        <v>0</v>
      </c>
      <c r="H18" s="1">
        <f>[1]per_question!M18</f>
        <v>0</v>
      </c>
      <c r="I18" s="1"/>
      <c r="J18" s="1">
        <f>[3]per_question!M18</f>
        <v>0</v>
      </c>
      <c r="K18" t="str">
        <f>[1]per_question!P18</f>
        <v/>
      </c>
      <c r="L18">
        <f>[2]per_question!Q18</f>
        <v>1</v>
      </c>
      <c r="M18" t="str">
        <f>[3]per_question!P18</f>
        <v/>
      </c>
      <c r="N18">
        <f>IF(OR([1]per_question!Q18="TP",[1]per_question!Q18="TN"),1,0)</f>
        <v>0</v>
      </c>
      <c r="O18">
        <f>IF(OR([2]per_question!R18="TP",[2]per_question!R18="TN"),1,0)</f>
        <v>1</v>
      </c>
      <c r="P18">
        <f>IF(OR([3]per_question!Q18="TP",[3]per_question!Q18="TN"),1,0)</f>
        <v>0</v>
      </c>
    </row>
    <row r="19" spans="1:16" x14ac:dyDescent="0.3">
      <c r="A19">
        <v>18</v>
      </c>
      <c r="B19" s="1" t="str">
        <f>[1]per_question!I19</f>
        <v/>
      </c>
      <c r="C19" s="1">
        <f>[2]per_question!I19</f>
        <v>1</v>
      </c>
      <c r="D19" s="1">
        <f>[3]per_question!I19</f>
        <v>1</v>
      </c>
      <c r="F19">
        <f t="shared" si="2"/>
        <v>1</v>
      </c>
      <c r="G19">
        <f t="shared" si="3"/>
        <v>1</v>
      </c>
      <c r="H19" s="1" t="str">
        <f>[1]per_question!M19</f>
        <v/>
      </c>
      <c r="I19" s="1">
        <f>[2]per_question!M19</f>
        <v>1</v>
      </c>
      <c r="J19" s="1">
        <f>[3]per_question!M19</f>
        <v>1</v>
      </c>
      <c r="K19">
        <f>[1]per_question!P19</f>
        <v>0</v>
      </c>
      <c r="M19" t="str">
        <f>[3]per_question!P19</f>
        <v/>
      </c>
      <c r="N19">
        <f>IF(OR([1]per_question!Q19="TP",[1]per_question!Q19="TN"),1,0)</f>
        <v>0</v>
      </c>
      <c r="O19">
        <f>IF(OR([2]per_question!R19="TP",[2]per_question!R19="TN"),1,0)</f>
        <v>1</v>
      </c>
      <c r="P19">
        <f>IF(OR([3]per_question!Q19="TP",[3]per_question!Q19="TN"),1,0)</f>
        <v>1</v>
      </c>
    </row>
    <row r="20" spans="1:16" x14ac:dyDescent="0.3">
      <c r="A20">
        <v>19</v>
      </c>
      <c r="B20" s="1">
        <f>[1]per_question!I20</f>
        <v>1</v>
      </c>
      <c r="C20" s="1"/>
      <c r="D20" s="1">
        <f>[3]per_question!I20</f>
        <v>0.66666666666666663</v>
      </c>
      <c r="E20">
        <f t="shared" si="1"/>
        <v>1</v>
      </c>
      <c r="G20">
        <f t="shared" si="3"/>
        <v>1</v>
      </c>
      <c r="H20" s="1">
        <f>[1]per_question!M20</f>
        <v>1</v>
      </c>
      <c r="I20" s="1"/>
      <c r="J20" s="1">
        <f>[3]per_question!M20</f>
        <v>0.66666666666666663</v>
      </c>
      <c r="K20" t="str">
        <f>[1]per_question!P20</f>
        <v/>
      </c>
      <c r="L20">
        <f>[2]per_question!Q20</f>
        <v>0</v>
      </c>
      <c r="M20" t="str">
        <f>[3]per_question!P20</f>
        <v/>
      </c>
      <c r="N20">
        <f>IF(OR([1]per_question!Q20="TP",[1]per_question!Q20="TN"),1,0)</f>
        <v>1</v>
      </c>
      <c r="O20">
        <f>IF(OR([2]per_question!R20="TP",[2]per_question!R20="TN"),1,0)</f>
        <v>0</v>
      </c>
      <c r="P20">
        <f>IF(OR([3]per_question!Q20="TP",[3]per_question!Q20="TN"),1,0)</f>
        <v>1</v>
      </c>
    </row>
    <row r="21" spans="1:16" x14ac:dyDescent="0.3">
      <c r="A21">
        <v>20</v>
      </c>
      <c r="B21" s="1">
        <f>[1]per_question!I21</f>
        <v>0.6</v>
      </c>
      <c r="C21" s="1"/>
      <c r="D21" s="1">
        <f>[3]per_question!I21</f>
        <v>0.6</v>
      </c>
      <c r="E21">
        <f t="shared" si="1"/>
        <v>0</v>
      </c>
      <c r="G21">
        <f t="shared" si="3"/>
        <v>0</v>
      </c>
      <c r="H21" s="1">
        <f>[1]per_question!M21</f>
        <v>0.2</v>
      </c>
      <c r="I21" s="1"/>
      <c r="J21" s="1">
        <f>[3]per_question!M21</f>
        <v>0.2</v>
      </c>
      <c r="K21" t="str">
        <f>[1]per_question!P21</f>
        <v/>
      </c>
      <c r="L21">
        <f>[2]per_question!Q21</f>
        <v>0</v>
      </c>
      <c r="M21" t="str">
        <f>[3]per_question!P21</f>
        <v/>
      </c>
      <c r="N21">
        <f>IF(OR([1]per_question!Q21="TP",[1]per_question!Q21="TN"),1,0)</f>
        <v>0</v>
      </c>
      <c r="O21">
        <f>IF(OR([2]per_question!R21="TP",[2]per_question!R21="TN"),1,0)</f>
        <v>0</v>
      </c>
      <c r="P21">
        <f>IF(OR([3]per_question!Q21="TP",[3]per_question!Q21="TN"),1,0)</f>
        <v>0</v>
      </c>
    </row>
    <row r="22" spans="1:16" x14ac:dyDescent="0.3">
      <c r="A22">
        <v>21</v>
      </c>
      <c r="B22" s="1">
        <f>[1]per_question!I22</f>
        <v>0.5</v>
      </c>
      <c r="C22" s="1">
        <f>[2]per_question!I22</f>
        <v>1</v>
      </c>
      <c r="D22" s="1">
        <f>[3]per_question!I22</f>
        <v>1</v>
      </c>
      <c r="E22">
        <f t="shared" si="1"/>
        <v>0</v>
      </c>
      <c r="F22">
        <f t="shared" si="2"/>
        <v>1</v>
      </c>
      <c r="G22">
        <f t="shared" si="3"/>
        <v>1</v>
      </c>
      <c r="H22" s="1">
        <f>[1]per_question!M22</f>
        <v>0.5</v>
      </c>
      <c r="I22" s="1">
        <f>[2]per_question!M22</f>
        <v>1</v>
      </c>
      <c r="J22" s="1">
        <f>[3]per_question!M22</f>
        <v>1</v>
      </c>
      <c r="K22" t="str">
        <f>[1]per_question!P22</f>
        <v/>
      </c>
      <c r="M22" t="str">
        <f>[3]per_question!P22</f>
        <v/>
      </c>
      <c r="N22">
        <f>IF(OR([1]per_question!Q22="TP",[1]per_question!Q22="TN"),1,0)</f>
        <v>0</v>
      </c>
      <c r="O22">
        <f>IF(OR([2]per_question!R22="TP",[2]per_question!R22="TN"),1,0)</f>
        <v>1</v>
      </c>
      <c r="P22">
        <f>IF(OR([3]per_question!Q22="TP",[3]per_question!Q22="TN"),1,0)</f>
        <v>1</v>
      </c>
    </row>
    <row r="23" spans="1:16" x14ac:dyDescent="0.3">
      <c r="A23">
        <v>22</v>
      </c>
      <c r="B23" s="1">
        <f>[1]per_question!I23</f>
        <v>1</v>
      </c>
      <c r="C23" s="1">
        <f>[2]per_question!I23</f>
        <v>0</v>
      </c>
      <c r="D23" s="1">
        <f>[3]per_question!I23</f>
        <v>0.6</v>
      </c>
      <c r="E23">
        <f t="shared" si="1"/>
        <v>1</v>
      </c>
      <c r="F23">
        <f t="shared" si="2"/>
        <v>0</v>
      </c>
      <c r="G23">
        <f t="shared" si="3"/>
        <v>1</v>
      </c>
      <c r="H23" s="1">
        <f>[1]per_question!M23</f>
        <v>1</v>
      </c>
      <c r="I23" s="1">
        <f>[2]per_question!M23</f>
        <v>0</v>
      </c>
      <c r="J23" s="1">
        <f>[3]per_question!M23</f>
        <v>0.6</v>
      </c>
      <c r="K23" t="str">
        <f>[1]per_question!P23</f>
        <v/>
      </c>
      <c r="M23" t="str">
        <f>[3]per_question!P23</f>
        <v/>
      </c>
      <c r="N23">
        <f>IF(OR([1]per_question!Q23="TP",[1]per_question!Q23="TN"),1,0)</f>
        <v>1</v>
      </c>
      <c r="O23">
        <f>IF(OR([2]per_question!R23="TP",[2]per_question!R23="TN"),1,0)</f>
        <v>0</v>
      </c>
      <c r="P23">
        <f>IF(OR([3]per_question!Q23="TP",[3]per_question!Q23="TN"),1,0)</f>
        <v>1</v>
      </c>
    </row>
    <row r="24" spans="1:16" x14ac:dyDescent="0.3">
      <c r="A24">
        <v>23</v>
      </c>
      <c r="B24" s="1">
        <f>[1]per_question!I24</f>
        <v>0.6</v>
      </c>
      <c r="C24" s="1">
        <f>[2]per_question!I24</f>
        <v>0</v>
      </c>
      <c r="D24" s="1">
        <f>[3]per_question!I24</f>
        <v>1</v>
      </c>
      <c r="E24">
        <f t="shared" si="1"/>
        <v>1</v>
      </c>
      <c r="F24">
        <f t="shared" si="2"/>
        <v>0</v>
      </c>
      <c r="G24">
        <f t="shared" si="3"/>
        <v>1</v>
      </c>
      <c r="H24" s="1">
        <f>[1]per_question!M24</f>
        <v>0.6</v>
      </c>
      <c r="I24" s="1">
        <f>[2]per_question!M24</f>
        <v>0</v>
      </c>
      <c r="J24" s="1">
        <f>[3]per_question!M24</f>
        <v>1</v>
      </c>
      <c r="K24" t="str">
        <f>[1]per_question!P24</f>
        <v/>
      </c>
      <c r="M24" t="str">
        <f>[3]per_question!P24</f>
        <v/>
      </c>
      <c r="N24">
        <f>IF(OR([1]per_question!Q24="TP",[1]per_question!Q24="TN"),1,0)</f>
        <v>1</v>
      </c>
      <c r="O24">
        <f>IF(OR([2]per_question!R24="TP",[2]per_question!R24="TN"),1,0)</f>
        <v>0</v>
      </c>
      <c r="P24">
        <f>IF(OR([3]per_question!Q24="TP",[3]per_question!Q24="TN"),1,0)</f>
        <v>1</v>
      </c>
    </row>
    <row r="25" spans="1:16" x14ac:dyDescent="0.3">
      <c r="A25">
        <v>24</v>
      </c>
      <c r="B25" s="1">
        <f>[1]per_question!I25</f>
        <v>1</v>
      </c>
      <c r="C25" s="1"/>
      <c r="D25" s="1">
        <f>[3]per_question!I25</f>
        <v>1</v>
      </c>
      <c r="E25">
        <f t="shared" si="1"/>
        <v>1</v>
      </c>
      <c r="G25">
        <f t="shared" si="3"/>
        <v>1</v>
      </c>
      <c r="H25" s="1">
        <f>[1]per_question!M25</f>
        <v>1</v>
      </c>
      <c r="I25" s="1"/>
      <c r="J25" s="1">
        <f>[3]per_question!M25</f>
        <v>1</v>
      </c>
      <c r="K25" t="str">
        <f>[1]per_question!P25</f>
        <v/>
      </c>
      <c r="L25">
        <f>[2]per_question!Q25</f>
        <v>0</v>
      </c>
      <c r="M25" t="str">
        <f>[3]per_question!P25</f>
        <v/>
      </c>
      <c r="N25">
        <f>IF(OR([1]per_question!Q25="TP",[1]per_question!Q25="TN"),1,0)</f>
        <v>1</v>
      </c>
      <c r="O25">
        <f>IF(OR([2]per_question!R25="TP",[2]per_question!R25="TN"),1,0)</f>
        <v>0</v>
      </c>
      <c r="P25">
        <f>IF(OR([3]per_question!Q25="TP",[3]per_question!Q25="TN"),1,0)</f>
        <v>1</v>
      </c>
    </row>
    <row r="26" spans="1:16" x14ac:dyDescent="0.3">
      <c r="A26">
        <v>25</v>
      </c>
      <c r="B26" s="1">
        <f>[1]per_question!I26</f>
        <v>0.8</v>
      </c>
      <c r="C26" s="1">
        <f>[2]per_question!I26</f>
        <v>1</v>
      </c>
      <c r="D26" s="1">
        <f>[3]per_question!I26</f>
        <v>1</v>
      </c>
      <c r="E26">
        <f t="shared" si="1"/>
        <v>1</v>
      </c>
      <c r="F26">
        <f t="shared" si="2"/>
        <v>1</v>
      </c>
      <c r="G26">
        <f t="shared" si="3"/>
        <v>1</v>
      </c>
      <c r="H26" s="1">
        <f>[1]per_question!M26</f>
        <v>0.8</v>
      </c>
      <c r="I26" s="1">
        <f>[2]per_question!M26</f>
        <v>1</v>
      </c>
      <c r="J26" s="1">
        <f>[3]per_question!M26</f>
        <v>1</v>
      </c>
      <c r="K26" t="str">
        <f>[1]per_question!P26</f>
        <v/>
      </c>
      <c r="M26" t="str">
        <f>[3]per_question!P26</f>
        <v/>
      </c>
      <c r="N26">
        <f>IF(OR([1]per_question!Q26="TP",[1]per_question!Q26="TN"),1,0)</f>
        <v>1</v>
      </c>
      <c r="O26">
        <f>IF(OR([2]per_question!R26="TP",[2]per_question!R26="TN"),1,0)</f>
        <v>1</v>
      </c>
      <c r="P26">
        <f>IF(OR([3]per_question!Q26="TP",[3]per_question!Q26="TN"),1,0)</f>
        <v>1</v>
      </c>
    </row>
    <row r="27" spans="1:16" x14ac:dyDescent="0.3">
      <c r="A27">
        <v>26</v>
      </c>
      <c r="B27" s="1">
        <f>[1]per_question!I27</f>
        <v>0.8</v>
      </c>
      <c r="C27" s="1">
        <f>[2]per_question!I27</f>
        <v>1</v>
      </c>
      <c r="D27" s="1">
        <f>[3]per_question!I27</f>
        <v>1</v>
      </c>
      <c r="E27">
        <f t="shared" si="1"/>
        <v>1</v>
      </c>
      <c r="F27">
        <f t="shared" si="2"/>
        <v>1</v>
      </c>
      <c r="G27">
        <f t="shared" si="3"/>
        <v>1</v>
      </c>
      <c r="H27" s="1">
        <f>[1]per_question!M27</f>
        <v>0.6</v>
      </c>
      <c r="I27" s="1">
        <f>[2]per_question!M27</f>
        <v>1</v>
      </c>
      <c r="J27" s="1">
        <f>[3]per_question!M27</f>
        <v>1</v>
      </c>
      <c r="K27" t="str">
        <f>[1]per_question!P27</f>
        <v/>
      </c>
      <c r="M27" t="str">
        <f>[3]per_question!P27</f>
        <v/>
      </c>
      <c r="N27">
        <f>IF(OR([1]per_question!Q27="TP",[1]per_question!Q27="TN"),1,0)</f>
        <v>1</v>
      </c>
      <c r="O27">
        <f>IF(OR([2]per_question!R27="TP",[2]per_question!R27="TN"),1,0)</f>
        <v>1</v>
      </c>
      <c r="P27">
        <f>IF(OR([3]per_question!Q27="TP",[3]per_question!Q27="TN"),1,0)</f>
        <v>1</v>
      </c>
    </row>
    <row r="28" spans="1:16" x14ac:dyDescent="0.3">
      <c r="A28">
        <v>27</v>
      </c>
      <c r="B28" s="1">
        <f>[1]per_question!I28</f>
        <v>0.75</v>
      </c>
      <c r="C28" s="1">
        <f>[2]per_question!I28</f>
        <v>0</v>
      </c>
      <c r="D28" s="1">
        <f>[3]per_question!I28</f>
        <v>1</v>
      </c>
      <c r="E28">
        <f t="shared" si="1"/>
        <v>0</v>
      </c>
      <c r="G28">
        <f t="shared" si="3"/>
        <v>1</v>
      </c>
      <c r="H28" s="1">
        <f>[1]per_question!M28</f>
        <v>0.5</v>
      </c>
      <c r="I28" s="1"/>
      <c r="J28" s="1">
        <f>[3]per_question!M28</f>
        <v>1</v>
      </c>
      <c r="K28" t="str">
        <f>[1]per_question!P28</f>
        <v/>
      </c>
      <c r="L28">
        <f>[2]per_question!Q28</f>
        <v>0</v>
      </c>
      <c r="M28" t="str">
        <f>[3]per_question!P28</f>
        <v/>
      </c>
      <c r="N28">
        <f>IF(OR([1]per_question!Q28="TP",[1]per_question!Q28="TN"),1,0)</f>
        <v>0</v>
      </c>
      <c r="O28">
        <f>IF(OR([2]per_question!R28="TP",[2]per_question!R28="TN"),1,0)</f>
        <v>0</v>
      </c>
      <c r="P28">
        <f>IF(OR([3]per_question!Q28="TP",[3]per_question!Q28="TN"),1,0)</f>
        <v>1</v>
      </c>
    </row>
    <row r="29" spans="1:16" x14ac:dyDescent="0.3">
      <c r="A29">
        <v>28</v>
      </c>
      <c r="B29" s="1">
        <f>[1]per_question!I29</f>
        <v>1</v>
      </c>
      <c r="C29" s="1">
        <f>[2]per_question!I29</f>
        <v>1</v>
      </c>
      <c r="D29" s="1">
        <f>[3]per_question!I29</f>
        <v>1</v>
      </c>
      <c r="E29">
        <f t="shared" si="1"/>
        <v>1</v>
      </c>
      <c r="F29">
        <f t="shared" si="2"/>
        <v>1</v>
      </c>
      <c r="G29">
        <f t="shared" si="3"/>
        <v>1</v>
      </c>
      <c r="H29" s="1">
        <f>[1]per_question!M29</f>
        <v>1</v>
      </c>
      <c r="I29" s="1">
        <f>[2]per_question!M29</f>
        <v>1</v>
      </c>
      <c r="J29" s="1">
        <f>[3]per_question!M29</f>
        <v>1</v>
      </c>
      <c r="K29" t="str">
        <f>[1]per_question!P29</f>
        <v/>
      </c>
      <c r="M29" t="str">
        <f>[3]per_question!P29</f>
        <v/>
      </c>
      <c r="N29">
        <f>IF(OR([1]per_question!Q29="TP",[1]per_question!Q29="TN"),1,0)</f>
        <v>1</v>
      </c>
      <c r="O29">
        <f>IF(OR([2]per_question!R29="TP",[2]per_question!R29="TN"),1,0)</f>
        <v>1</v>
      </c>
      <c r="P29">
        <f>IF(OR([3]per_question!Q29="TP",[3]per_question!Q29="TN"),1,0)</f>
        <v>1</v>
      </c>
    </row>
    <row r="30" spans="1:16" x14ac:dyDescent="0.3">
      <c r="A30">
        <v>29</v>
      </c>
      <c r="B30" s="1">
        <f>[1]per_question!I30</f>
        <v>1</v>
      </c>
      <c r="C30" s="1">
        <f>[2]per_question!I30</f>
        <v>1</v>
      </c>
      <c r="D30" s="1">
        <f>[3]per_question!I30</f>
        <v>1</v>
      </c>
      <c r="E30">
        <f t="shared" si="1"/>
        <v>1</v>
      </c>
      <c r="F30">
        <f t="shared" si="2"/>
        <v>1</v>
      </c>
      <c r="G30">
        <f t="shared" si="3"/>
        <v>1</v>
      </c>
      <c r="H30" s="1">
        <f>[1]per_question!M30</f>
        <v>1</v>
      </c>
      <c r="I30" s="1">
        <f>[2]per_question!M30</f>
        <v>1</v>
      </c>
      <c r="J30" s="1">
        <f>[3]per_question!M30</f>
        <v>1</v>
      </c>
      <c r="K30" t="str">
        <f>[1]per_question!P30</f>
        <v/>
      </c>
      <c r="M30" t="str">
        <f>[3]per_question!P30</f>
        <v/>
      </c>
      <c r="N30">
        <f>IF(OR([1]per_question!Q30="TP",[1]per_question!Q30="TN"),1,0)</f>
        <v>1</v>
      </c>
      <c r="O30">
        <f>IF(OR([2]per_question!R30="TP",[2]per_question!R30="TN"),1,0)</f>
        <v>1</v>
      </c>
      <c r="P30">
        <f>IF(OR([3]per_question!Q30="TP",[3]per_question!Q30="TN"),1,0)</f>
        <v>1</v>
      </c>
    </row>
    <row r="31" spans="1:16" x14ac:dyDescent="0.3">
      <c r="A31">
        <v>30</v>
      </c>
      <c r="B31" s="1">
        <f>[1]per_question!I31</f>
        <v>1</v>
      </c>
      <c r="C31" s="1">
        <f>[2]per_question!I31</f>
        <v>1</v>
      </c>
      <c r="D31" s="1">
        <f>[3]per_question!I31</f>
        <v>1</v>
      </c>
      <c r="E31">
        <f t="shared" si="1"/>
        <v>1</v>
      </c>
      <c r="F31">
        <f t="shared" si="2"/>
        <v>1</v>
      </c>
      <c r="G31">
        <f t="shared" si="3"/>
        <v>1</v>
      </c>
      <c r="H31" s="1">
        <f>[1]per_question!M31</f>
        <v>1</v>
      </c>
      <c r="I31" s="1">
        <f>[2]per_question!M31</f>
        <v>1</v>
      </c>
      <c r="J31" s="1">
        <f>[3]per_question!M31</f>
        <v>1</v>
      </c>
      <c r="K31" t="str">
        <f>[1]per_question!P31</f>
        <v/>
      </c>
      <c r="M31" t="str">
        <f>[3]per_question!P31</f>
        <v/>
      </c>
      <c r="N31">
        <f>IF(OR([1]per_question!Q31="TP",[1]per_question!Q31="TN"),1,0)</f>
        <v>1</v>
      </c>
      <c r="O31">
        <f>IF(OR([2]per_question!R31="TP",[2]per_question!R31="TN"),1,0)</f>
        <v>1</v>
      </c>
      <c r="P31">
        <f>IF(OR([3]per_question!Q31="TP",[3]per_question!Q31="TN"),1,0)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8B5E8-023E-4282-81AA-FC3E71783B6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RIPIN</dc:creator>
  <cp:lastModifiedBy>RIPIN</cp:lastModifiedBy>
  <dcterms:created xsi:type="dcterms:W3CDTF">2025-11-18T02:11:55Z</dcterms:created>
  <dcterms:modified xsi:type="dcterms:W3CDTF">2025-11-18T13:13:46Z</dcterms:modified>
</cp:coreProperties>
</file>